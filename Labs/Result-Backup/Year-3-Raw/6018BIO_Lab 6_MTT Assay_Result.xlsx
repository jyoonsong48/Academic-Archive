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19fbdc9f5a82c56/바탕 화면/UNI/Year 3/6018BIO/"/>
    </mc:Choice>
  </mc:AlternateContent>
  <xr:revisionPtr revIDLastSave="643" documentId="8_{5AEEBB9D-A024-489A-A536-B0E017BC53BF}" xr6:coauthVersionLast="47" xr6:coauthVersionMax="47" xr10:uidLastSave="{AA804C86-94F3-4BDA-83B6-A0EC550C084C}"/>
  <bookViews>
    <workbookView minimized="1" xWindow="3672" yWindow="3540" windowWidth="17280" windowHeight="9420" activeTab="1" xr2:uid="{5CFE403E-11A9-4070-9D52-2063724BF82A}"/>
  </bookViews>
  <sheets>
    <sheet name="MTT Assay" sheetId="1" r:id="rId1"/>
    <sheet name="graph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36" i="1" l="1"/>
  <c r="AB21" i="1" l="1"/>
  <c r="V28" i="1" s="1"/>
  <c r="AB4" i="1"/>
  <c r="S10" i="1" s="1"/>
  <c r="X27" i="1" l="1"/>
  <c r="R21" i="1"/>
  <c r="S28" i="1"/>
  <c r="Q23" i="1"/>
  <c r="R23" i="1"/>
  <c r="U22" i="1"/>
  <c r="U25" i="1"/>
  <c r="W24" i="1"/>
  <c r="V27" i="1"/>
  <c r="U27" i="1"/>
  <c r="Q25" i="1"/>
  <c r="S22" i="1"/>
  <c r="V24" i="1"/>
  <c r="R25" i="1"/>
  <c r="Q21" i="1"/>
  <c r="Q26" i="1"/>
  <c r="X23" i="1"/>
  <c r="U24" i="1"/>
  <c r="X26" i="1"/>
  <c r="S27" i="1"/>
  <c r="W21" i="1"/>
  <c r="Q27" i="1"/>
  <c r="W23" i="1"/>
  <c r="S24" i="1"/>
  <c r="W26" i="1"/>
  <c r="R27" i="1"/>
  <c r="T22" i="1"/>
  <c r="T25" i="1"/>
  <c r="X28" i="1"/>
  <c r="V21" i="1"/>
  <c r="Q22" i="1"/>
  <c r="V23" i="1"/>
  <c r="R24" i="1"/>
  <c r="U26" i="1"/>
  <c r="U21" i="1"/>
  <c r="X22" i="1"/>
  <c r="T23" i="1"/>
  <c r="X25" i="1"/>
  <c r="T26" i="1"/>
  <c r="U28" i="1"/>
  <c r="S21" i="1"/>
  <c r="W22" i="1"/>
  <c r="S23" i="1"/>
  <c r="V25" i="1"/>
  <c r="S26" i="1"/>
  <c r="T28" i="1"/>
  <c r="X21" i="1"/>
  <c r="Q24" i="1"/>
  <c r="V22" i="1"/>
  <c r="U23" i="1"/>
  <c r="T24" i="1"/>
  <c r="S25" i="1"/>
  <c r="R26" i="1"/>
  <c r="W28" i="1"/>
  <c r="T21" i="1"/>
  <c r="T31" i="1" s="1"/>
  <c r="T32" i="1" s="1"/>
  <c r="Q28" i="1"/>
  <c r="R22" i="1"/>
  <c r="X24" i="1"/>
  <c r="W25" i="1"/>
  <c r="V26" i="1"/>
  <c r="T27" i="1"/>
  <c r="R28" i="1"/>
  <c r="W27" i="1"/>
  <c r="Z5" i="1"/>
  <c r="Z6" i="1"/>
  <c r="Z7" i="1"/>
  <c r="Z8" i="1"/>
  <c r="Z4" i="1"/>
  <c r="Z9" i="1"/>
  <c r="Z10" i="1"/>
  <c r="Z11" i="1"/>
  <c r="T5" i="1"/>
  <c r="S6" i="1"/>
  <c r="S7" i="1"/>
  <c r="V8" i="1"/>
  <c r="U9" i="1"/>
  <c r="T10" i="1"/>
  <c r="S11" i="1"/>
  <c r="Y11" i="1"/>
  <c r="Q4" i="1"/>
  <c r="S5" i="1"/>
  <c r="R6" i="1"/>
  <c r="R7" i="1"/>
  <c r="U8" i="1"/>
  <c r="T9" i="1"/>
  <c r="R11" i="1"/>
  <c r="R4" i="1"/>
  <c r="R14" i="1" s="1"/>
  <c r="R15" i="1" s="1"/>
  <c r="Q5" i="1"/>
  <c r="Q7" i="1"/>
  <c r="Q8" i="1"/>
  <c r="T8" i="1"/>
  <c r="S9" i="1"/>
  <c r="R10" i="1"/>
  <c r="Y4" i="1"/>
  <c r="Y5" i="1"/>
  <c r="Q6" i="1"/>
  <c r="X6" i="1"/>
  <c r="X7" i="1"/>
  <c r="Q9" i="1"/>
  <c r="S8" i="1"/>
  <c r="R9" i="1"/>
  <c r="X11" i="1"/>
  <c r="X4" i="1"/>
  <c r="Y6" i="1"/>
  <c r="X5" i="1"/>
  <c r="W6" i="1"/>
  <c r="W7" i="1"/>
  <c r="Q10" i="1"/>
  <c r="R8" i="1"/>
  <c r="X10" i="1"/>
  <c r="W11" i="1"/>
  <c r="W4" i="1"/>
  <c r="W14" i="1" s="1"/>
  <c r="W15" i="1" s="1"/>
  <c r="Y7" i="1"/>
  <c r="S4" i="1"/>
  <c r="R5" i="1"/>
  <c r="W5" i="1"/>
  <c r="V6" i="1"/>
  <c r="V7" i="1"/>
  <c r="Q11" i="1"/>
  <c r="X9" i="1"/>
  <c r="W10" i="1"/>
  <c r="V11" i="1"/>
  <c r="V4" i="1"/>
  <c r="Y8" i="1"/>
  <c r="V5" i="1"/>
  <c r="U6" i="1"/>
  <c r="U7" i="1"/>
  <c r="X8" i="1"/>
  <c r="W9" i="1"/>
  <c r="V10" i="1"/>
  <c r="U11" i="1"/>
  <c r="U4" i="1"/>
  <c r="Y10" i="1"/>
  <c r="U5" i="1"/>
  <c r="T6" i="1"/>
  <c r="T7" i="1"/>
  <c r="W8" i="1"/>
  <c r="V9" i="1"/>
  <c r="U10" i="1"/>
  <c r="T11" i="1"/>
  <c r="T4" i="1"/>
  <c r="Y9" i="1"/>
  <c r="Z14" i="1" l="1"/>
  <c r="Z15" i="1" s="1"/>
  <c r="Q12" i="1"/>
  <c r="Q14" i="1"/>
  <c r="Q15" i="1" s="1"/>
  <c r="X31" i="1"/>
  <c r="X32" i="1" s="1"/>
  <c r="X29" i="1"/>
  <c r="Q31" i="1"/>
  <c r="Q32" i="1" s="1"/>
  <c r="Y14" i="1"/>
  <c r="Y15" i="1" s="1"/>
  <c r="V29" i="1"/>
  <c r="V31" i="1"/>
  <c r="V32" i="1" s="1"/>
  <c r="W31" i="1"/>
  <c r="W32" i="1" s="1"/>
  <c r="W29" i="1"/>
  <c r="U14" i="1"/>
  <c r="U15" i="1" s="1"/>
  <c r="V14" i="1"/>
  <c r="V15" i="1" s="1"/>
  <c r="U29" i="1"/>
  <c r="U31" i="1"/>
  <c r="U32" i="1" s="1"/>
  <c r="T14" i="1"/>
  <c r="T15" i="1" s="1"/>
  <c r="S14" i="1"/>
  <c r="S15" i="1" s="1"/>
  <c r="R31" i="1"/>
  <c r="R32" i="1" s="1"/>
  <c r="X14" i="1"/>
  <c r="X15" i="1" s="1"/>
  <c r="S31" i="1"/>
  <c r="S32" i="1" s="1"/>
  <c r="R29" i="1"/>
  <c r="Q29" i="1"/>
  <c r="S29" i="1"/>
  <c r="R12" i="1"/>
  <c r="T29" i="1"/>
  <c r="W12" i="1"/>
  <c r="X12" i="1"/>
  <c r="Z12" i="1"/>
  <c r="V12" i="1"/>
  <c r="T12" i="1"/>
  <c r="Y12" i="1"/>
  <c r="U12" i="1"/>
  <c r="S12" i="1"/>
</calcChain>
</file>

<file path=xl/sharedStrings.xml><?xml version="1.0" encoding="utf-8"?>
<sst xmlns="http://schemas.openxmlformats.org/spreadsheetml/2006/main" count="52" uniqueCount="26">
  <si>
    <t>A</t>
  </si>
  <si>
    <t>B</t>
  </si>
  <si>
    <t>C</t>
  </si>
  <si>
    <t>D</t>
  </si>
  <si>
    <t>E</t>
  </si>
  <si>
    <t>F</t>
  </si>
  <si>
    <t>G</t>
  </si>
  <si>
    <t>H</t>
  </si>
  <si>
    <t>averg.</t>
  </si>
  <si>
    <t>10µM</t>
  </si>
  <si>
    <t>20µM</t>
  </si>
  <si>
    <t>30µM</t>
  </si>
  <si>
    <t>40µM</t>
  </si>
  <si>
    <t>1mM</t>
  </si>
  <si>
    <t>0.5mM</t>
  </si>
  <si>
    <t>0.1mM</t>
  </si>
  <si>
    <t>0.05mM</t>
  </si>
  <si>
    <t>DMSO</t>
  </si>
  <si>
    <t>Δ (vs untreated)</t>
  </si>
  <si>
    <t>Δ (vs DMSO)</t>
  </si>
  <si>
    <t>DMSO averg.</t>
  </si>
  <si>
    <t>Untreated Control averg.</t>
  </si>
  <si>
    <t>SD</t>
  </si>
  <si>
    <t>SEM</t>
  </si>
  <si>
    <t>1% (col. 9)</t>
  </si>
  <si>
    <t>1% (col.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</si>
</sst>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나눔고딕"/>
      <family val="3"/>
      <charset val="129"/>
    </font>
    <font>
      <sz val="11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49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Tamoxifen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'MTT Assay'!$Q$14:$T$14</c:f>
                <c:numCache>
                  <c:formatCode>General</c:formatCode>
                  <c:ptCount val="4"/>
                  <c:pt idx="0">
                    <c:v>1.6888373007994083E-2</c:v>
                  </c:pt>
                  <c:pt idx="1">
                    <c:v>1.3717845520134928E-2</c:v>
                  </c:pt>
                  <c:pt idx="2">
                    <c:v>1.0482834608471676E-2</c:v>
                  </c:pt>
                  <c:pt idx="3">
                    <c:v>2.5209376798553125E-2</c:v>
                  </c:pt>
                </c:numCache>
              </c:numRef>
            </c:plus>
            <c:minus>
              <c:numRef>
                <c:f>'MTT Assay'!$Q$14:$T$14</c:f>
                <c:numCache>
                  <c:formatCode>General</c:formatCode>
                  <c:ptCount val="4"/>
                  <c:pt idx="0">
                    <c:v>1.6888373007994083E-2</c:v>
                  </c:pt>
                  <c:pt idx="1">
                    <c:v>1.3717845520134928E-2</c:v>
                  </c:pt>
                  <c:pt idx="2">
                    <c:v>1.0482834608471676E-2</c:v>
                  </c:pt>
                  <c:pt idx="3">
                    <c:v>2.5209376798553125E-2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'MTT Assay'!$Q$3:$T$3</c:f>
              <c:strCache>
                <c:ptCount val="4"/>
                <c:pt idx="0">
                  <c:v>10µM</c:v>
                </c:pt>
                <c:pt idx="1">
                  <c:v>20µM</c:v>
                </c:pt>
                <c:pt idx="2">
                  <c:v>30µM</c:v>
                </c:pt>
                <c:pt idx="3">
                  <c:v>40µM</c:v>
                </c:pt>
              </c:strCache>
            </c:strRef>
          </c:cat>
          <c:val>
            <c:numRef>
              <c:f>'MTT Assay'!$Q$12:$T$12</c:f>
              <c:numCache>
                <c:formatCode>General</c:formatCode>
                <c:ptCount val="4"/>
                <c:pt idx="0">
                  <c:v>-0.10593750000000007</c:v>
                </c:pt>
                <c:pt idx="1">
                  <c:v>-0.23311250000000011</c:v>
                </c:pt>
                <c:pt idx="2">
                  <c:v>-0.22102500000000011</c:v>
                </c:pt>
                <c:pt idx="3">
                  <c:v>-0.26465000000000011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6-42FF-9E65-793E702D9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7796272"/>
        <c:axId val="2091784032"/>
      </c:barChart>
      <c:catAx>
        <c:axId val="107779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784032"/>
        <c:crosses val="autoZero"/>
        <c:auto val="1"/>
        <c:lblAlgn val="ctr"/>
        <c:lblOffset val="100"/>
        <c:noMultiLvlLbl val="0"/>
      </c:catAx>
      <c:valAx>
        <c:axId val="209178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ΔA570(vs untreated)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79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Metformin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'MTT Assay'!$U$37:$X$37</c:f>
                <c:numCache>
                  <c:formatCode>General</c:formatCode>
                  <c:ptCount val="4"/>
                  <c:pt idx="0">
                    <c:v>3.7900000000000003E-2</c:v>
                  </c:pt>
                  <c:pt idx="1">
                    <c:v>2.1899999999999999E-2</c:v>
                  </c:pt>
                  <c:pt idx="2">
                    <c:v>3.6799999999999999E-2</c:v>
                  </c:pt>
                  <c:pt idx="3">
                    <c:v>2.0199999999999999E-2</c:v>
                  </c:pt>
                </c:numCache>
              </c:numRef>
            </c:plus>
            <c:minus>
              <c:numRef>
                <c:f>'MTT Assay'!$U$37:$X$37</c:f>
                <c:numCache>
                  <c:formatCode>General</c:formatCode>
                  <c:ptCount val="4"/>
                  <c:pt idx="0">
                    <c:v>3.7900000000000003E-2</c:v>
                  </c:pt>
                  <c:pt idx="1">
                    <c:v>2.1899999999999999E-2</c:v>
                  </c:pt>
                  <c:pt idx="2">
                    <c:v>3.6799999999999999E-2</c:v>
                  </c:pt>
                  <c:pt idx="3">
                    <c:v>2.0199999999999999E-2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'MTT Assay'!$U$35:$X$35</c:f>
              <c:strCache>
                <c:ptCount val="4"/>
                <c:pt idx="0">
                  <c:v>0.05mM</c:v>
                </c:pt>
                <c:pt idx="1">
                  <c:v>0.1mM</c:v>
                </c:pt>
                <c:pt idx="2">
                  <c:v>0.5mM</c:v>
                </c:pt>
                <c:pt idx="3">
                  <c:v>1mM</c:v>
                </c:pt>
              </c:strCache>
            </c:strRef>
          </c:cat>
          <c:val>
            <c:numRef>
              <c:f>'MTT Assay'!$U$36:$X$36</c:f>
              <c:numCache>
                <c:formatCode>General</c:formatCode>
                <c:ptCount val="4"/>
                <c:pt idx="0">
                  <c:v>-7.0000000000000007E-2</c:v>
                </c:pt>
                <c:pt idx="1">
                  <c:v>-6.5000000000000002E-2</c:v>
                </c:pt>
                <c:pt idx="2">
                  <c:v>-9.9000000000000005E-2</c:v>
                </c:pt>
                <c:pt idx="3">
                  <c:v>-9.2999999999999999E-2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A1-4D78-85F5-B592D799C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7814368"/>
        <c:axId val="1180973600"/>
      </c:barChart>
      <c:catAx>
        <c:axId val="107781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973600"/>
        <c:crosses val="autoZero"/>
        <c:auto val="1"/>
        <c:lblAlgn val="ctr"/>
        <c:lblOffset val="100"/>
        <c:noMultiLvlLbl val="0"/>
      </c:catAx>
      <c:valAx>
        <c:axId val="1180973600"/>
        <c:scaling>
          <c:orientation val="minMax"/>
          <c:min val="-0.35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ΔA570(vs untreated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81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DMSO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'MTT Assay'!$Y$14:$Z$14</c:f>
                <c:numCache>
                  <c:formatCode>General</c:formatCode>
                  <c:ptCount val="2"/>
                  <c:pt idx="0">
                    <c:v>2.4954183016079684E-2</c:v>
                  </c:pt>
                  <c:pt idx="1">
                    <c:v>2.5410849060981809E-2</c:v>
                  </c:pt>
                </c:numCache>
              </c:numRef>
            </c:plus>
            <c:minus>
              <c:numRef>
                <c:f>'MTT Assay'!$Y$14:$Z$14</c:f>
                <c:numCache>
                  <c:formatCode>General</c:formatCode>
                  <c:ptCount val="2"/>
                  <c:pt idx="0">
                    <c:v>2.4954183016079684E-2</c:v>
                  </c:pt>
                  <c:pt idx="1">
                    <c:v>2.5410849060981809E-2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'MTT Assay'!$R$74:$S$74</c:f>
              <c:strCache>
                <c:ptCount val="2"/>
                <c:pt idx="0">
                  <c:v>1% (col. 9)</c:v>
                </c:pt>
                <c:pt idx="1">
                  <c:v>1% (col. 10)</c:v>
                </c:pt>
              </c:strCache>
            </c:strRef>
          </c:cat>
          <c:val>
            <c:numRef>
              <c:f>'MTT Assay'!$Y$12:$Z$12</c:f>
              <c:numCache>
                <c:formatCode>General</c:formatCode>
                <c:ptCount val="2"/>
                <c:pt idx="0">
                  <c:v>-7.9400000000000082E-2</c:v>
                </c:pt>
                <c:pt idx="1">
                  <c:v>-6.6500000000000073E-2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2-443E-B404-AFA15A17A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3262880"/>
        <c:axId val="2013103840"/>
      </c:barChart>
      <c:catAx>
        <c:axId val="123326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103840"/>
        <c:crosses val="autoZero"/>
        <c:auto val="1"/>
        <c:lblAlgn val="ctr"/>
        <c:lblOffset val="100"/>
        <c:noMultiLvlLbl val="0"/>
      </c:catAx>
      <c:valAx>
        <c:axId val="2013103840"/>
        <c:scaling>
          <c:orientation val="minMax"/>
          <c:min val="-0.35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ΔA570(vs untreated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  <a:alpha val="97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26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167732908540625E-2"/>
          <c:y val="0.17171296296296296"/>
          <c:w val="0.87080748670805841"/>
          <c:h val="0.7773611111111110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91C-412C-89F0-D9367B774AE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91C-412C-89F0-D9367B774AEB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91C-412C-89F0-D9367B774AEB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91C-412C-89F0-D9367B774AEB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91C-412C-89F0-D9367B774AEB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91C-412C-89F0-D9367B774AEB}"/>
              </c:ext>
            </c:extLst>
          </c:dPt>
          <c:errBars>
            <c:errBarType val="both"/>
            <c:errValType val="cust"/>
            <c:noEndCap val="0"/>
            <c:plus>
              <c:numRef>
                <c:f>'MTT Assay'!$Q$14:$Z$14</c:f>
                <c:numCache>
                  <c:formatCode>General</c:formatCode>
                  <c:ptCount val="10"/>
                  <c:pt idx="0">
                    <c:v>1.6888373007994083E-2</c:v>
                  </c:pt>
                  <c:pt idx="1">
                    <c:v>1.3717845520134928E-2</c:v>
                  </c:pt>
                  <c:pt idx="2">
                    <c:v>1.0482834608471676E-2</c:v>
                  </c:pt>
                  <c:pt idx="3">
                    <c:v>2.5209376798553125E-2</c:v>
                  </c:pt>
                  <c:pt idx="4">
                    <c:v>2.0191069454446528E-2</c:v>
                  </c:pt>
                  <c:pt idx="5">
                    <c:v>3.6781235510981461E-2</c:v>
                  </c:pt>
                  <c:pt idx="6">
                    <c:v>2.1859731406009043E-2</c:v>
                  </c:pt>
                  <c:pt idx="7">
                    <c:v>3.7907971268775237E-2</c:v>
                  </c:pt>
                  <c:pt idx="8">
                    <c:v>2.4954183016079684E-2</c:v>
                  </c:pt>
                  <c:pt idx="9">
                    <c:v>2.5410849060981809E-2</c:v>
                  </c:pt>
                </c:numCache>
              </c:numRef>
            </c:plus>
            <c:minus>
              <c:numRef>
                <c:f>'MTT Assay'!$Q$14:$Z$14</c:f>
                <c:numCache>
                  <c:formatCode>General</c:formatCode>
                  <c:ptCount val="10"/>
                  <c:pt idx="0">
                    <c:v>1.6888373007994083E-2</c:v>
                  </c:pt>
                  <c:pt idx="1">
                    <c:v>1.3717845520134928E-2</c:v>
                  </c:pt>
                  <c:pt idx="2">
                    <c:v>1.0482834608471676E-2</c:v>
                  </c:pt>
                  <c:pt idx="3">
                    <c:v>2.5209376798553125E-2</c:v>
                  </c:pt>
                  <c:pt idx="4">
                    <c:v>2.0191069454446528E-2</c:v>
                  </c:pt>
                  <c:pt idx="5">
                    <c:v>3.6781235510981461E-2</c:v>
                  </c:pt>
                  <c:pt idx="6">
                    <c:v>2.1859731406009043E-2</c:v>
                  </c:pt>
                  <c:pt idx="7">
                    <c:v>3.7907971268775237E-2</c:v>
                  </c:pt>
                  <c:pt idx="8">
                    <c:v>2.4954183016079684E-2</c:v>
                  </c:pt>
                  <c:pt idx="9">
                    <c:v>2.5410849060981809E-2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'MTT Assay'!$Q$42:$Q$51</c:f>
              <c:strCache>
                <c:ptCount val="10"/>
                <c:pt idx="0">
                  <c:v>10µM</c:v>
                </c:pt>
                <c:pt idx="1">
                  <c:v>20µM</c:v>
                </c:pt>
                <c:pt idx="2">
                  <c:v>30µM</c:v>
                </c:pt>
                <c:pt idx="3">
                  <c:v>40µM</c:v>
                </c:pt>
                <c:pt idx="4">
                  <c:v>0.05mM</c:v>
                </c:pt>
                <c:pt idx="5">
                  <c:v>0.1mM</c:v>
                </c:pt>
                <c:pt idx="6">
                  <c:v>0.5mM</c:v>
                </c:pt>
                <c:pt idx="7">
                  <c:v>1mM</c:v>
                </c:pt>
                <c:pt idx="8">
                  <c:v>1% (col. 9)</c:v>
                </c:pt>
                <c:pt idx="9">
                  <c:v>1% (col. 10)</c:v>
                </c:pt>
              </c:strCache>
            </c:strRef>
          </c:cat>
          <c:val>
            <c:numRef>
              <c:f>'MTT Assay'!$R$42:$R$51</c:f>
              <c:numCache>
                <c:formatCode>General</c:formatCode>
                <c:ptCount val="10"/>
                <c:pt idx="0">
                  <c:v>-0.10593750000000007</c:v>
                </c:pt>
                <c:pt idx="1">
                  <c:v>-0.23311250000000011</c:v>
                </c:pt>
                <c:pt idx="2">
                  <c:v>-0.22102500000000011</c:v>
                </c:pt>
                <c:pt idx="3">
                  <c:v>-0.26465000000000011</c:v>
                </c:pt>
                <c:pt idx="4">
                  <c:v>-9.3012500000000081E-2</c:v>
                </c:pt>
                <c:pt idx="5">
                  <c:v>-9.8762500000000086E-2</c:v>
                </c:pt>
                <c:pt idx="6">
                  <c:v>-6.5162500000000068E-2</c:v>
                </c:pt>
                <c:pt idx="7">
                  <c:v>-6.9787500000000072E-2</c:v>
                </c:pt>
                <c:pt idx="8">
                  <c:v>-7.9400000000000082E-2</c:v>
                </c:pt>
                <c:pt idx="9">
                  <c:v>-6.6500000000000073E-2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C-412C-89F0-D9367B774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3325056"/>
        <c:axId val="2013102880"/>
      </c:barChart>
      <c:catAx>
        <c:axId val="123332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102880"/>
        <c:crosses val="autoZero"/>
        <c:auto val="1"/>
        <c:lblAlgn val="ctr"/>
        <c:lblOffset val="100"/>
        <c:noMultiLvlLbl val="0"/>
      </c:catAx>
      <c:valAx>
        <c:axId val="201310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ΔA570(vs untreated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32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Tamoxifen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'MTT Assay'!$Q$14:$T$14</c:f>
                <c:numCache>
                  <c:formatCode>General</c:formatCode>
                  <c:ptCount val="4"/>
                  <c:pt idx="0">
                    <c:v>1.6888373007994083E-2</c:v>
                  </c:pt>
                  <c:pt idx="1">
                    <c:v>1.3717845520134928E-2</c:v>
                  </c:pt>
                  <c:pt idx="2">
                    <c:v>1.0482834608471676E-2</c:v>
                  </c:pt>
                  <c:pt idx="3">
                    <c:v>2.5209376798553125E-2</c:v>
                  </c:pt>
                </c:numCache>
              </c:numRef>
            </c:plus>
            <c:minus>
              <c:numRef>
                <c:f>'MTT Assay'!$Q$14:$T$14</c:f>
                <c:numCache>
                  <c:formatCode>General</c:formatCode>
                  <c:ptCount val="4"/>
                  <c:pt idx="0">
                    <c:v>1.6888373007994083E-2</c:v>
                  </c:pt>
                  <c:pt idx="1">
                    <c:v>1.3717845520134928E-2</c:v>
                  </c:pt>
                  <c:pt idx="2">
                    <c:v>1.0482834608471676E-2</c:v>
                  </c:pt>
                  <c:pt idx="3">
                    <c:v>2.5209376798553125E-2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'MTT Assay'!$Q$3:$T$3</c:f>
              <c:strCache>
                <c:ptCount val="4"/>
                <c:pt idx="0">
                  <c:v>10µM</c:v>
                </c:pt>
                <c:pt idx="1">
                  <c:v>20µM</c:v>
                </c:pt>
                <c:pt idx="2">
                  <c:v>30µM</c:v>
                </c:pt>
                <c:pt idx="3">
                  <c:v>40µM</c:v>
                </c:pt>
              </c:strCache>
            </c:strRef>
          </c:cat>
          <c:val>
            <c:numRef>
              <c:f>'MTT Assay'!$Q$12:$T$12</c:f>
              <c:numCache>
                <c:formatCode>General</c:formatCode>
                <c:ptCount val="4"/>
                <c:pt idx="0">
                  <c:v>-0.10593750000000007</c:v>
                </c:pt>
                <c:pt idx="1">
                  <c:v>-0.23311250000000011</c:v>
                </c:pt>
                <c:pt idx="2">
                  <c:v>-0.22102500000000011</c:v>
                </c:pt>
                <c:pt idx="3">
                  <c:v>-0.26465000000000011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9D-45A7-BCCF-EE091BC51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7796272"/>
        <c:axId val="2091784032"/>
      </c:barChart>
      <c:catAx>
        <c:axId val="107779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784032"/>
        <c:crosses val="autoZero"/>
        <c:auto val="1"/>
        <c:lblAlgn val="ctr"/>
        <c:lblOffset val="100"/>
        <c:noMultiLvlLbl val="0"/>
      </c:catAx>
      <c:valAx>
        <c:axId val="209178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ΔA570(vs untreated)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79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Metformin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'MTT Assay'!$U$37:$X$37</c:f>
                <c:numCache>
                  <c:formatCode>General</c:formatCode>
                  <c:ptCount val="4"/>
                  <c:pt idx="0">
                    <c:v>3.7900000000000003E-2</c:v>
                  </c:pt>
                  <c:pt idx="1">
                    <c:v>2.1899999999999999E-2</c:v>
                  </c:pt>
                  <c:pt idx="2">
                    <c:v>3.6799999999999999E-2</c:v>
                  </c:pt>
                  <c:pt idx="3">
                    <c:v>2.0199999999999999E-2</c:v>
                  </c:pt>
                </c:numCache>
              </c:numRef>
            </c:plus>
            <c:minus>
              <c:numRef>
                <c:f>'MTT Assay'!$U$37:$X$37</c:f>
                <c:numCache>
                  <c:formatCode>General</c:formatCode>
                  <c:ptCount val="4"/>
                  <c:pt idx="0">
                    <c:v>3.7900000000000003E-2</c:v>
                  </c:pt>
                  <c:pt idx="1">
                    <c:v>2.1899999999999999E-2</c:v>
                  </c:pt>
                  <c:pt idx="2">
                    <c:v>3.6799999999999999E-2</c:v>
                  </c:pt>
                  <c:pt idx="3">
                    <c:v>2.0199999999999999E-2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'MTT Assay'!$U$35:$X$35</c:f>
              <c:strCache>
                <c:ptCount val="4"/>
                <c:pt idx="0">
                  <c:v>0.05mM</c:v>
                </c:pt>
                <c:pt idx="1">
                  <c:v>0.1mM</c:v>
                </c:pt>
                <c:pt idx="2">
                  <c:v>0.5mM</c:v>
                </c:pt>
                <c:pt idx="3">
                  <c:v>1mM</c:v>
                </c:pt>
              </c:strCache>
            </c:strRef>
          </c:cat>
          <c:val>
            <c:numRef>
              <c:f>'MTT Assay'!$U$36:$X$36</c:f>
              <c:numCache>
                <c:formatCode>General</c:formatCode>
                <c:ptCount val="4"/>
                <c:pt idx="0">
                  <c:v>-7.0000000000000007E-2</c:v>
                </c:pt>
                <c:pt idx="1">
                  <c:v>-6.5000000000000002E-2</c:v>
                </c:pt>
                <c:pt idx="2">
                  <c:v>-9.9000000000000005E-2</c:v>
                </c:pt>
                <c:pt idx="3">
                  <c:v>-9.2999999999999999E-2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A-4C17-817C-B5C31E344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7814368"/>
        <c:axId val="1180973600"/>
      </c:barChart>
      <c:catAx>
        <c:axId val="107781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973600"/>
        <c:crosses val="autoZero"/>
        <c:auto val="1"/>
        <c:lblAlgn val="ctr"/>
        <c:lblOffset val="100"/>
        <c:noMultiLvlLbl val="0"/>
      </c:catAx>
      <c:valAx>
        <c:axId val="1180973600"/>
        <c:scaling>
          <c:orientation val="minMax"/>
          <c:min val="-0.35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ΔA570(vs untreated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81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DMSO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'MTT Assay'!$Y$14:$Z$14</c:f>
                <c:numCache>
                  <c:formatCode>General</c:formatCode>
                  <c:ptCount val="2"/>
                  <c:pt idx="0">
                    <c:v>2.4954183016079684E-2</c:v>
                  </c:pt>
                  <c:pt idx="1">
                    <c:v>2.5410849060981809E-2</c:v>
                  </c:pt>
                </c:numCache>
              </c:numRef>
            </c:plus>
            <c:minus>
              <c:numRef>
                <c:f>'MTT Assay'!$Y$14:$Z$14</c:f>
                <c:numCache>
                  <c:formatCode>General</c:formatCode>
                  <c:ptCount val="2"/>
                  <c:pt idx="0">
                    <c:v>2.4954183016079684E-2</c:v>
                  </c:pt>
                  <c:pt idx="1">
                    <c:v>2.5410849060981809E-2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'MTT Assay'!$R$74:$S$74</c:f>
              <c:strCache>
                <c:ptCount val="2"/>
                <c:pt idx="0">
                  <c:v>1% (col. 9)</c:v>
                </c:pt>
                <c:pt idx="1">
                  <c:v>1% (col. 10)</c:v>
                </c:pt>
              </c:strCache>
            </c:strRef>
          </c:cat>
          <c:val>
            <c:numRef>
              <c:f>'MTT Assay'!$Y$12:$Z$12</c:f>
              <c:numCache>
                <c:formatCode>General</c:formatCode>
                <c:ptCount val="2"/>
                <c:pt idx="0">
                  <c:v>-7.9400000000000082E-2</c:v>
                </c:pt>
                <c:pt idx="1">
                  <c:v>-6.6500000000000073E-2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77-4C5E-8164-ADC6259CC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3262880"/>
        <c:axId val="2013103840"/>
      </c:barChart>
      <c:catAx>
        <c:axId val="123326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103840"/>
        <c:crosses val="autoZero"/>
        <c:auto val="1"/>
        <c:lblAlgn val="ctr"/>
        <c:lblOffset val="100"/>
        <c:noMultiLvlLbl val="0"/>
      </c:catAx>
      <c:valAx>
        <c:axId val="2013103840"/>
        <c:scaling>
          <c:orientation val="minMax"/>
          <c:min val="-0.35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ΔA570(vs untreated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  <a:alpha val="97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26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167732908540625E-2"/>
          <c:y val="0.17171296296296296"/>
          <c:w val="0.87080748670805841"/>
          <c:h val="0.7773611111111110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34E-4A7E-BEC6-2ADF2A5F6EA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34E-4A7E-BEC6-2ADF2A5F6EA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34E-4A7E-BEC6-2ADF2A5F6EA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34E-4A7E-BEC6-2ADF2A5F6EA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34E-4A7E-BEC6-2ADF2A5F6EA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34E-4A7E-BEC6-2ADF2A5F6EAF}"/>
              </c:ext>
            </c:extLst>
          </c:dPt>
          <c:errBars>
            <c:errBarType val="both"/>
            <c:errValType val="cust"/>
            <c:noEndCap val="0"/>
            <c:plus>
              <c:numRef>
                <c:f>'MTT Assay'!$Q$14:$Z$14</c:f>
                <c:numCache>
                  <c:formatCode>General</c:formatCode>
                  <c:ptCount val="10"/>
                  <c:pt idx="0">
                    <c:v>1.6888373007994083E-2</c:v>
                  </c:pt>
                  <c:pt idx="1">
                    <c:v>1.3717845520134928E-2</c:v>
                  </c:pt>
                  <c:pt idx="2">
                    <c:v>1.0482834608471676E-2</c:v>
                  </c:pt>
                  <c:pt idx="3">
                    <c:v>2.5209376798553125E-2</c:v>
                  </c:pt>
                  <c:pt idx="4">
                    <c:v>2.0191069454446528E-2</c:v>
                  </c:pt>
                  <c:pt idx="5">
                    <c:v>3.6781235510981461E-2</c:v>
                  </c:pt>
                  <c:pt idx="6">
                    <c:v>2.1859731406009043E-2</c:v>
                  </c:pt>
                  <c:pt idx="7">
                    <c:v>3.7907971268775237E-2</c:v>
                  </c:pt>
                  <c:pt idx="8">
                    <c:v>2.4954183016079684E-2</c:v>
                  </c:pt>
                  <c:pt idx="9">
                    <c:v>2.5410849060981809E-2</c:v>
                  </c:pt>
                </c:numCache>
              </c:numRef>
            </c:plus>
            <c:minus>
              <c:numRef>
                <c:f>'MTT Assay'!$Q$14:$Z$14</c:f>
                <c:numCache>
                  <c:formatCode>General</c:formatCode>
                  <c:ptCount val="10"/>
                  <c:pt idx="0">
                    <c:v>1.6888373007994083E-2</c:v>
                  </c:pt>
                  <c:pt idx="1">
                    <c:v>1.3717845520134928E-2</c:v>
                  </c:pt>
                  <c:pt idx="2">
                    <c:v>1.0482834608471676E-2</c:v>
                  </c:pt>
                  <c:pt idx="3">
                    <c:v>2.5209376798553125E-2</c:v>
                  </c:pt>
                  <c:pt idx="4">
                    <c:v>2.0191069454446528E-2</c:v>
                  </c:pt>
                  <c:pt idx="5">
                    <c:v>3.6781235510981461E-2</c:v>
                  </c:pt>
                  <c:pt idx="6">
                    <c:v>2.1859731406009043E-2</c:v>
                  </c:pt>
                  <c:pt idx="7">
                    <c:v>3.7907971268775237E-2</c:v>
                  </c:pt>
                  <c:pt idx="8">
                    <c:v>2.4954183016079684E-2</c:v>
                  </c:pt>
                  <c:pt idx="9">
                    <c:v>2.5410849060981809E-2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'MTT Assay'!$Q$42:$Q$51</c:f>
              <c:strCache>
                <c:ptCount val="10"/>
                <c:pt idx="0">
                  <c:v>10µM</c:v>
                </c:pt>
                <c:pt idx="1">
                  <c:v>20µM</c:v>
                </c:pt>
                <c:pt idx="2">
                  <c:v>30µM</c:v>
                </c:pt>
                <c:pt idx="3">
                  <c:v>40µM</c:v>
                </c:pt>
                <c:pt idx="4">
                  <c:v>0.05mM</c:v>
                </c:pt>
                <c:pt idx="5">
                  <c:v>0.1mM</c:v>
                </c:pt>
                <c:pt idx="6">
                  <c:v>0.5mM</c:v>
                </c:pt>
                <c:pt idx="7">
                  <c:v>1mM</c:v>
                </c:pt>
                <c:pt idx="8">
                  <c:v>1% (col. 9)</c:v>
                </c:pt>
                <c:pt idx="9">
                  <c:v>1% (col. 10)</c:v>
                </c:pt>
              </c:strCache>
            </c:strRef>
          </c:cat>
          <c:val>
            <c:numRef>
              <c:f>'MTT Assay'!$R$42:$R$51</c:f>
              <c:numCache>
                <c:formatCode>General</c:formatCode>
                <c:ptCount val="10"/>
                <c:pt idx="0">
                  <c:v>-0.10593750000000007</c:v>
                </c:pt>
                <c:pt idx="1">
                  <c:v>-0.23311250000000011</c:v>
                </c:pt>
                <c:pt idx="2">
                  <c:v>-0.22102500000000011</c:v>
                </c:pt>
                <c:pt idx="3">
                  <c:v>-0.26465000000000011</c:v>
                </c:pt>
                <c:pt idx="4">
                  <c:v>-9.3012500000000081E-2</c:v>
                </c:pt>
                <c:pt idx="5">
                  <c:v>-9.8762500000000086E-2</c:v>
                </c:pt>
                <c:pt idx="6">
                  <c:v>-6.5162500000000068E-2</c:v>
                </c:pt>
                <c:pt idx="7">
                  <c:v>-6.9787500000000072E-2</c:v>
                </c:pt>
                <c:pt idx="8">
                  <c:v>-7.9400000000000082E-2</c:v>
                </c:pt>
                <c:pt idx="9">
                  <c:v>-6.6500000000000073E-2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34E-4A7E-BEC6-2ADF2A5F6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3325056"/>
        <c:axId val="2013102880"/>
      </c:barChart>
      <c:catAx>
        <c:axId val="123332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102880"/>
        <c:crosses val="autoZero"/>
        <c:auto val="1"/>
        <c:lblAlgn val="ctr"/>
        <c:lblOffset val="100"/>
        <c:noMultiLvlLbl val="0"/>
      </c:catAx>
      <c:valAx>
        <c:axId val="201310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ΔA570(vs untreated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32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76199</xdr:colOff>
      <xdr:row>11</xdr:row>
      <xdr:rowOff>54429</xdr:rowOff>
    </xdr:from>
    <xdr:to>
      <xdr:col>8</xdr:col>
      <xdr:colOff>283028</xdr:colOff>
      <xdr:row>26</xdr:row>
      <xdr:rowOff>21772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5A0CF0-C970-F927-72B1-1BEC36A64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32657</xdr:colOff>
      <xdr:row>26</xdr:row>
      <xdr:rowOff>130628</xdr:rowOff>
    </xdr:from>
    <xdr:to>
      <xdr:col>8</xdr:col>
      <xdr:colOff>239486</xdr:colOff>
      <xdr:row>41</xdr:row>
      <xdr:rowOff>97971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930ECE-FB20-1691-57D9-96445B4FEF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54429</xdr:colOff>
      <xdr:row>42</xdr:row>
      <xdr:rowOff>21771</xdr:rowOff>
    </xdr:from>
    <xdr:to>
      <xdr:col>8</xdr:col>
      <xdr:colOff>261258</xdr:colOff>
      <xdr:row>56</xdr:row>
      <xdr:rowOff>174171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BA3D2D-F0DC-0397-1C16-4F1250BBFB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413658</xdr:colOff>
      <xdr:row>40</xdr:row>
      <xdr:rowOff>141513</xdr:rowOff>
    </xdr:from>
    <xdr:to>
      <xdr:col>20</xdr:col>
      <xdr:colOff>446313</xdr:colOff>
      <xdr:row>56</xdr:row>
      <xdr:rowOff>54429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B935026-FE06-762B-B06E-E2A194CE0B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0.25635</cdr:x>
      <cdr:y>0.09868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411FB24-B841-00D0-78F0-4984FE42768D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121237" cy="2198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/>
            <a:t>Mean ± SD, n=8</a:t>
          </a:r>
          <a:endParaRPr lang="en-GB" sz="1100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0.25635</cdr:x>
      <cdr:y>0.09868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7EA7573-9091-200E-D26D-9E7CB65B5659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121237" cy="2198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/>
            <a:t>Mean ± SD, n=8</a:t>
          </a:r>
          <a:endParaRPr lang="en-GB" sz="1100" kern="12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0.25635</cdr:x>
      <cdr:y>0.09868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9000E94-873A-C343-7367-2B553D77429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121237" cy="2198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/>
            <a:t>Mean ± SD, n=8</a:t>
          </a:r>
          <a:endParaRPr lang="en-GB" sz="1100" kern="12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0.00787</cdr:x>
      <cdr:y>0.01852</cdr:y>
    </cdr:from>
    <cdr:to>
      <cdr:x>0.18156</cdr:x>
      <cdr:y>0.09868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ED0FB5F-BB62-B5FB-94C0-816440A9B52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121237" cy="2198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/>
            <a:t>Mean ± SD, n=8</a:t>
          </a:r>
          <a:endParaRPr lang="en-GB" sz="1100" kern="1200"/>
        </a:p>
      </cdr:txBody>
    </cdr:sp>
  </cdr:relSizeAnchor>
  <cdr:relSizeAnchor xmlns:cdr="http://schemas.openxmlformats.org/drawingml/2006/chartDrawing">
    <cdr:from>
      <cdr:x>0.18662</cdr:x>
      <cdr:y>0.10131</cdr:y>
    </cdr:from>
    <cdr:to>
      <cdr:x>0.36032</cdr:x>
      <cdr:y>0.18147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2ED0FB5F-BB62-B5FB-94C0-816440A9B527}"/>
            </a:ext>
          </a:extLst>
        </cdr:cNvPr>
        <cdr:cNvSpPr txBox="1"/>
      </cdr:nvSpPr>
      <cdr:spPr>
        <a:xfrm xmlns:a="http://schemas.openxmlformats.org/drawingml/2006/main">
          <a:off x="1204687" y="291151"/>
          <a:ext cx="1121237" cy="2303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>
              <a:solidFill>
                <a:schemeClr val="accent3"/>
              </a:solidFill>
            </a:rPr>
            <a:t>Tamoxifen</a:t>
          </a:r>
        </a:p>
      </cdr:txBody>
    </cdr:sp>
  </cdr:relSizeAnchor>
  <cdr:relSizeAnchor xmlns:cdr="http://schemas.openxmlformats.org/drawingml/2006/chartDrawing">
    <cdr:from>
      <cdr:x>0.53401</cdr:x>
      <cdr:y>0.10456</cdr:y>
    </cdr:from>
    <cdr:to>
      <cdr:x>0.7077</cdr:x>
      <cdr:y>0.18472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CF60B14C-463A-17DA-C185-21D47C2BF75F}"/>
            </a:ext>
          </a:extLst>
        </cdr:cNvPr>
        <cdr:cNvSpPr txBox="1"/>
      </cdr:nvSpPr>
      <cdr:spPr>
        <a:xfrm xmlns:a="http://schemas.openxmlformats.org/drawingml/2006/main">
          <a:off x="3447145" y="300481"/>
          <a:ext cx="1121237" cy="2303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>
              <a:solidFill>
                <a:schemeClr val="accent2"/>
              </a:solidFill>
            </a:rPr>
            <a:t>Metformin</a:t>
          </a:r>
        </a:p>
      </cdr:txBody>
    </cdr:sp>
  </cdr:relSizeAnchor>
  <cdr:relSizeAnchor xmlns:cdr="http://schemas.openxmlformats.org/drawingml/2006/chartDrawing">
    <cdr:from>
      <cdr:x>0.79539</cdr:x>
      <cdr:y>0.10101</cdr:y>
    </cdr:from>
    <cdr:to>
      <cdr:x>0.96909</cdr:x>
      <cdr:y>0.18117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1FA6E113-7C05-0581-C542-D430C03305B4}"/>
            </a:ext>
          </a:extLst>
        </cdr:cNvPr>
        <cdr:cNvSpPr txBox="1"/>
      </cdr:nvSpPr>
      <cdr:spPr>
        <a:xfrm xmlns:a="http://schemas.openxmlformats.org/drawingml/2006/main">
          <a:off x="5134428" y="290286"/>
          <a:ext cx="1121237" cy="2303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>
              <a:solidFill>
                <a:schemeClr val="accent1"/>
              </a:solidFill>
            </a:rPr>
            <a:t>DMSO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119743</xdr:colOff>
      <xdr:row>1</xdr:row>
      <xdr:rowOff>119743</xdr:rowOff>
    </xdr:from>
    <xdr:to>
      <xdr:col>7</xdr:col>
      <xdr:colOff>424543</xdr:colOff>
      <xdr:row>16</xdr:row>
      <xdr:rowOff>119743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6E6DBA-2A33-42DC-B118-6BDBE96A9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598714</xdr:colOff>
      <xdr:row>1</xdr:row>
      <xdr:rowOff>119743</xdr:rowOff>
    </xdr:from>
    <xdr:to>
      <xdr:col>15</xdr:col>
      <xdr:colOff>293914</xdr:colOff>
      <xdr:row>16</xdr:row>
      <xdr:rowOff>87086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0001DE-C3B9-4233-BEA7-A46942713F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511629</xdr:colOff>
      <xdr:row>1</xdr:row>
      <xdr:rowOff>108858</xdr:rowOff>
    </xdr:from>
    <xdr:to>
      <xdr:col>23</xdr:col>
      <xdr:colOff>206829</xdr:colOff>
      <xdr:row>16</xdr:row>
      <xdr:rowOff>76201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72B7AE-6393-4A48-8799-7A3E3C88DE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381000</xdr:colOff>
      <xdr:row>1</xdr:row>
      <xdr:rowOff>87085</xdr:rowOff>
    </xdr:from>
    <xdr:to>
      <xdr:col>34</xdr:col>
      <xdr:colOff>130627</xdr:colOff>
      <xdr:row>17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66A6D4-1820-4B49-AF9B-3FBA62A23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0.25635</cdr:x>
      <cdr:y>0.09868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411FB24-B841-00D0-78F0-4984FE42768D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121237" cy="2198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/>
            <a:t>Mean ± SD, n=8</a:t>
          </a:r>
          <a:endParaRPr lang="en-GB" sz="1100" kern="1200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0.25635</cdr:x>
      <cdr:y>0.09868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7EA7573-9091-200E-D26D-9E7CB65B5659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121237" cy="2198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/>
            <a:t>Mean ± SD, n=8</a:t>
          </a:r>
          <a:endParaRPr lang="en-GB" sz="1100" kern="1200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0.25635</cdr:x>
      <cdr:y>0.09868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9000E94-873A-C343-7367-2B553D77429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121237" cy="2198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/>
            <a:t>Mean ± SD, n=8</a:t>
          </a:r>
          <a:endParaRPr lang="en-GB" sz="1100" kern="1200"/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0.00787</cdr:x>
      <cdr:y>0.01852</cdr:y>
    </cdr:from>
    <cdr:to>
      <cdr:x>0.18156</cdr:x>
      <cdr:y>0.09868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ED0FB5F-BB62-B5FB-94C0-816440A9B52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121237" cy="2198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/>
            <a:t>Mean ± SD, n=8</a:t>
          </a:r>
          <a:endParaRPr lang="en-GB" sz="1100" kern="1200"/>
        </a:p>
      </cdr:txBody>
    </cdr:sp>
  </cdr:relSizeAnchor>
  <cdr:relSizeAnchor xmlns:cdr="http://schemas.openxmlformats.org/drawingml/2006/chartDrawing">
    <cdr:from>
      <cdr:x>0.18662</cdr:x>
      <cdr:y>0.10131</cdr:y>
    </cdr:from>
    <cdr:to>
      <cdr:x>0.36032</cdr:x>
      <cdr:y>0.18147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2ED0FB5F-BB62-B5FB-94C0-816440A9B527}"/>
            </a:ext>
          </a:extLst>
        </cdr:cNvPr>
        <cdr:cNvSpPr txBox="1"/>
      </cdr:nvSpPr>
      <cdr:spPr>
        <a:xfrm xmlns:a="http://schemas.openxmlformats.org/drawingml/2006/main">
          <a:off x="1204687" y="291151"/>
          <a:ext cx="1121237" cy="2303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>
              <a:solidFill>
                <a:schemeClr val="accent3"/>
              </a:solidFill>
            </a:rPr>
            <a:t>Tamoxifen</a:t>
          </a:r>
        </a:p>
      </cdr:txBody>
    </cdr:sp>
  </cdr:relSizeAnchor>
  <cdr:relSizeAnchor xmlns:cdr="http://schemas.openxmlformats.org/drawingml/2006/chartDrawing">
    <cdr:from>
      <cdr:x>0.53401</cdr:x>
      <cdr:y>0.10456</cdr:y>
    </cdr:from>
    <cdr:to>
      <cdr:x>0.7077</cdr:x>
      <cdr:y>0.18472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CF60B14C-463A-17DA-C185-21D47C2BF75F}"/>
            </a:ext>
          </a:extLst>
        </cdr:cNvPr>
        <cdr:cNvSpPr txBox="1"/>
      </cdr:nvSpPr>
      <cdr:spPr>
        <a:xfrm xmlns:a="http://schemas.openxmlformats.org/drawingml/2006/main">
          <a:off x="3447145" y="300481"/>
          <a:ext cx="1121237" cy="2303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>
              <a:solidFill>
                <a:schemeClr val="accent2"/>
              </a:solidFill>
            </a:rPr>
            <a:t>Metformin</a:t>
          </a:r>
        </a:p>
      </cdr:txBody>
    </cdr:sp>
  </cdr:relSizeAnchor>
  <cdr:relSizeAnchor xmlns:cdr="http://schemas.openxmlformats.org/drawingml/2006/chartDrawing">
    <cdr:from>
      <cdr:x>0.79539</cdr:x>
      <cdr:y>0.10101</cdr:y>
    </cdr:from>
    <cdr:to>
      <cdr:x>0.96909</cdr:x>
      <cdr:y>0.18117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1FA6E113-7C05-0581-C542-D430C03305B4}"/>
            </a:ext>
          </a:extLst>
        </cdr:cNvPr>
        <cdr:cNvSpPr txBox="1"/>
      </cdr:nvSpPr>
      <cdr:spPr>
        <a:xfrm xmlns:a="http://schemas.openxmlformats.org/drawingml/2006/main">
          <a:off x="5134428" y="290286"/>
          <a:ext cx="1121237" cy="2303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>
              <a:solidFill>
                <a:schemeClr val="accent1"/>
              </a:solidFill>
            </a:rPr>
            <a:t>DMSO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EC9AC-F6FB-4154-8DE2-7E838F8BBC4F}">
  <sheetPr>
    <pageSetUpPr fitToPage="1"/>
  </sheetPr>
  <dimension ref="A1:AD74"/>
  <sheetViews>
    <sheetView topLeftCell="A28" zoomScale="70" zoomScaleNormal="70" workbookViewId="0">
      <selection activeCell="N39" sqref="N39"/>
    </sheetView>
  </sheetViews>
  <sheetFormatPr defaultRowHeight="14.4" x14ac:dyDescent="0.3"/>
  <cols>
    <col min="2" max="2" width="7.44140625" customWidth="1"/>
    <col min="3" max="3" width="9" customWidth="1"/>
    <col min="4" max="4" width="9" bestFit="1" customWidth="1"/>
    <col min="5" max="6" width="10" bestFit="1" customWidth="1"/>
    <col min="7" max="9" width="9" bestFit="1" customWidth="1"/>
    <col min="10" max="10" width="8" bestFit="1" customWidth="1"/>
    <col min="11" max="14" width="10" bestFit="1" customWidth="1"/>
    <col min="15" max="15" width="1.77734375" customWidth="1"/>
    <col min="16" max="16" width="8.33203125" customWidth="1"/>
    <col min="27" max="27" width="3.44140625" customWidth="1"/>
    <col min="28" max="28" width="24.44140625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2"/>
      <c r="C2" s="10">
        <v>1</v>
      </c>
      <c r="D2" s="10">
        <v>2</v>
      </c>
      <c r="E2" s="10">
        <v>3</v>
      </c>
      <c r="F2" s="10">
        <v>4</v>
      </c>
      <c r="G2" s="10">
        <v>5</v>
      </c>
      <c r="H2" s="10">
        <v>6</v>
      </c>
      <c r="I2" s="10">
        <v>7</v>
      </c>
      <c r="J2" s="10">
        <v>8</v>
      </c>
      <c r="K2" s="10">
        <v>9</v>
      </c>
      <c r="L2" s="10">
        <v>10</v>
      </c>
      <c r="M2" s="10">
        <v>11</v>
      </c>
      <c r="N2" s="10">
        <v>12</v>
      </c>
      <c r="O2" s="1"/>
      <c r="P2" s="1"/>
      <c r="Q2" s="14" t="s">
        <v>18</v>
      </c>
      <c r="R2" s="14"/>
      <c r="S2" s="14"/>
      <c r="T2" s="14"/>
      <c r="U2" s="14"/>
      <c r="V2" s="14"/>
      <c r="W2" s="14"/>
      <c r="X2" s="14"/>
      <c r="Y2" s="14"/>
      <c r="Z2" s="14"/>
      <c r="AA2" s="1"/>
      <c r="AB2" s="1"/>
      <c r="AC2" s="1"/>
      <c r="AD2" s="1"/>
    </row>
    <row r="3" spans="1:30" x14ac:dyDescent="0.3">
      <c r="A3" s="1"/>
      <c r="B3" s="9" t="s">
        <v>0</v>
      </c>
      <c r="C3" s="7">
        <v>0.30909999999999999</v>
      </c>
      <c r="D3" s="7">
        <v>0.16109999999999999</v>
      </c>
      <c r="E3" s="7">
        <v>0.1724</v>
      </c>
      <c r="F3" s="7">
        <v>0.1782</v>
      </c>
      <c r="G3" s="8">
        <v>0.28660000000000002</v>
      </c>
      <c r="H3" s="8">
        <v>0.25619999999999998</v>
      </c>
      <c r="I3" s="8">
        <v>0.31850000000000001</v>
      </c>
      <c r="J3" s="8">
        <v>0.28189999999999998</v>
      </c>
      <c r="K3" s="7">
        <v>0.27729999999999999</v>
      </c>
      <c r="L3" s="7">
        <v>0.30890000000000001</v>
      </c>
      <c r="M3" s="7">
        <v>0.37759999999999999</v>
      </c>
      <c r="N3" s="7">
        <v>3.8199999999999998E-2</v>
      </c>
      <c r="O3" s="1"/>
      <c r="P3" s="3"/>
      <c r="Q3" s="11" t="s">
        <v>9</v>
      </c>
      <c r="R3" s="11" t="s">
        <v>10</v>
      </c>
      <c r="S3" s="11" t="s">
        <v>11</v>
      </c>
      <c r="T3" s="11" t="s">
        <v>12</v>
      </c>
      <c r="U3" s="11" t="s">
        <v>13</v>
      </c>
      <c r="V3" s="11" t="s">
        <v>14</v>
      </c>
      <c r="W3" s="11" t="s">
        <v>15</v>
      </c>
      <c r="X3" s="11" t="s">
        <v>16</v>
      </c>
      <c r="Y3" s="11" t="s">
        <v>17</v>
      </c>
      <c r="Z3" s="11" t="s">
        <v>17</v>
      </c>
      <c r="AA3" s="1"/>
      <c r="AB3" s="5" t="s">
        <v>21</v>
      </c>
      <c r="AC3" s="1"/>
      <c r="AD3" s="1"/>
    </row>
    <row r="4" spans="1:30" x14ac:dyDescent="0.3">
      <c r="A4" s="1"/>
      <c r="B4" s="6" t="s">
        <v>1</v>
      </c>
      <c r="C4" s="7">
        <v>0.28260000000000002</v>
      </c>
      <c r="D4" s="7">
        <v>0.15429999999999999</v>
      </c>
      <c r="E4" s="7">
        <v>0.17829999999999999</v>
      </c>
      <c r="F4" s="7">
        <v>0.17899999999999999</v>
      </c>
      <c r="G4" s="8">
        <v>0.29070000000000001</v>
      </c>
      <c r="H4" s="8">
        <v>0.31580000000000003</v>
      </c>
      <c r="I4" s="8">
        <v>0.37280000000000002</v>
      </c>
      <c r="J4" s="8">
        <v>0.38879999999999998</v>
      </c>
      <c r="K4" s="7">
        <v>0.34250000000000003</v>
      </c>
      <c r="L4" s="7">
        <v>0.3836</v>
      </c>
      <c r="M4" s="7">
        <v>0.36409999999999998</v>
      </c>
      <c r="N4" s="7">
        <v>3.73E-2</v>
      </c>
      <c r="O4" s="1"/>
      <c r="P4" s="1"/>
      <c r="Q4" s="7">
        <f t="shared" ref="Q4:Z4" si="0">C3-$AB4</f>
        <v>-9.8737500000000089E-2</v>
      </c>
      <c r="R4" s="7">
        <f t="shared" si="0"/>
        <v>-0.24673750000000008</v>
      </c>
      <c r="S4" s="7">
        <f t="shared" si="0"/>
        <v>-0.23543750000000008</v>
      </c>
      <c r="T4" s="7">
        <f t="shared" si="0"/>
        <v>-0.22963750000000008</v>
      </c>
      <c r="U4" s="7">
        <f t="shared" si="0"/>
        <v>-0.12123750000000005</v>
      </c>
      <c r="V4" s="7">
        <f t="shared" si="0"/>
        <v>-0.15163750000000009</v>
      </c>
      <c r="W4" s="7">
        <f t="shared" si="0"/>
        <v>-8.933750000000007E-2</v>
      </c>
      <c r="X4" s="7">
        <f t="shared" si="0"/>
        <v>-0.12593750000000009</v>
      </c>
      <c r="Y4" s="7">
        <f t="shared" si="0"/>
        <v>-0.13053750000000008</v>
      </c>
      <c r="Z4" s="7">
        <f t="shared" si="0"/>
        <v>-9.8937500000000067E-2</v>
      </c>
      <c r="AA4" s="1"/>
      <c r="AB4" s="3">
        <f>AVERAGE(M3:M10)</f>
        <v>0.40783750000000007</v>
      </c>
      <c r="AC4" s="1"/>
      <c r="AD4" s="1"/>
    </row>
    <row r="5" spans="1:30" x14ac:dyDescent="0.3">
      <c r="A5" s="1"/>
      <c r="B5" s="6" t="s">
        <v>2</v>
      </c>
      <c r="C5" s="7">
        <v>0.3024</v>
      </c>
      <c r="D5" s="7">
        <v>0.16869999999999999</v>
      </c>
      <c r="E5" s="7">
        <v>0.1822</v>
      </c>
      <c r="F5" s="7">
        <v>0.13819999999999999</v>
      </c>
      <c r="G5" s="8">
        <v>0.30099999999999999</v>
      </c>
      <c r="H5" s="8">
        <v>0.32079999999999997</v>
      </c>
      <c r="I5" s="8">
        <v>0.32869999999999999</v>
      </c>
      <c r="J5" s="8">
        <v>0.34920000000000001</v>
      </c>
      <c r="K5" s="7">
        <v>0.3609</v>
      </c>
      <c r="L5" s="7">
        <v>0.33400000000000002</v>
      </c>
      <c r="M5" s="7">
        <v>0.39739999999999998</v>
      </c>
      <c r="N5" s="7">
        <v>3.78E-2</v>
      </c>
      <c r="O5" s="1"/>
      <c r="P5" s="1"/>
      <c r="Q5" s="7">
        <f t="shared" ref="Q5:Z5" si="1">C4-$AB4</f>
        <v>-0.12523750000000006</v>
      </c>
      <c r="R5" s="7">
        <f t="shared" si="1"/>
        <v>-0.25353750000000008</v>
      </c>
      <c r="S5" s="7">
        <f t="shared" si="1"/>
        <v>-0.22953750000000009</v>
      </c>
      <c r="T5" s="7">
        <f t="shared" si="1"/>
        <v>-0.22883750000000008</v>
      </c>
      <c r="U5" s="7">
        <f t="shared" si="1"/>
        <v>-0.11713750000000006</v>
      </c>
      <c r="V5" s="7">
        <f t="shared" si="1"/>
        <v>-9.203750000000005E-2</v>
      </c>
      <c r="W5" s="7">
        <f t="shared" si="1"/>
        <v>-3.5037500000000055E-2</v>
      </c>
      <c r="X5" s="7">
        <f t="shared" si="1"/>
        <v>-1.9037500000000096E-2</v>
      </c>
      <c r="Y5" s="7">
        <f t="shared" si="1"/>
        <v>-6.5337500000000048E-2</v>
      </c>
      <c r="Z5" s="7">
        <f t="shared" si="1"/>
        <v>-2.4237500000000078E-2</v>
      </c>
      <c r="AA5" s="1"/>
      <c r="AB5" s="1"/>
      <c r="AC5" s="1"/>
      <c r="AD5" s="1"/>
    </row>
    <row r="6" spans="1:30" x14ac:dyDescent="0.3">
      <c r="A6" s="1"/>
      <c r="B6" s="6" t="s">
        <v>3</v>
      </c>
      <c r="C6" s="7">
        <v>0.28399999999999997</v>
      </c>
      <c r="D6" s="7">
        <v>0.1837</v>
      </c>
      <c r="E6" s="7">
        <v>0.17979999999999999</v>
      </c>
      <c r="F6" s="7">
        <v>0.1399</v>
      </c>
      <c r="G6" s="8">
        <v>0.32319999999999999</v>
      </c>
      <c r="H6" s="8">
        <v>0.32550000000000001</v>
      </c>
      <c r="I6" s="8">
        <v>0.36849999999999999</v>
      </c>
      <c r="J6" s="8">
        <v>0.31950000000000001</v>
      </c>
      <c r="K6" s="7">
        <v>0.33279999999999998</v>
      </c>
      <c r="L6" s="7">
        <v>0.31469999999999998</v>
      </c>
      <c r="M6" s="7">
        <v>0.40620000000000001</v>
      </c>
      <c r="N6" s="7">
        <v>3.6900000000000002E-2</v>
      </c>
      <c r="O6" s="1"/>
      <c r="P6" s="1"/>
      <c r="Q6" s="7">
        <f t="shared" ref="Q6:Z6" si="2">C5-$AB4</f>
        <v>-0.10543750000000007</v>
      </c>
      <c r="R6" s="7">
        <f t="shared" si="2"/>
        <v>-0.23913750000000009</v>
      </c>
      <c r="S6" s="7">
        <f t="shared" si="2"/>
        <v>-0.22563750000000007</v>
      </c>
      <c r="T6" s="7">
        <f t="shared" si="2"/>
        <v>-0.26963750000000009</v>
      </c>
      <c r="U6" s="7">
        <f t="shared" si="2"/>
        <v>-0.10683750000000009</v>
      </c>
      <c r="V6" s="7">
        <f t="shared" si="2"/>
        <v>-8.7037500000000101E-2</v>
      </c>
      <c r="W6" s="7">
        <f t="shared" si="2"/>
        <v>-7.9137500000000083E-2</v>
      </c>
      <c r="X6" s="7">
        <f t="shared" si="2"/>
        <v>-5.8637500000000065E-2</v>
      </c>
      <c r="Y6" s="7">
        <f t="shared" si="2"/>
        <v>-4.6937500000000076E-2</v>
      </c>
      <c r="Z6" s="7">
        <f t="shared" si="2"/>
        <v>-7.3837500000000056E-2</v>
      </c>
      <c r="AA6" s="1"/>
      <c r="AB6" s="1"/>
      <c r="AC6" s="1"/>
      <c r="AD6" s="1"/>
    </row>
    <row r="7" spans="1:30" x14ac:dyDescent="0.3">
      <c r="A7" s="1"/>
      <c r="B7" s="6" t="s">
        <v>4</v>
      </c>
      <c r="C7" s="7">
        <v>0.31509999999999999</v>
      </c>
      <c r="D7" s="7">
        <v>0.1857</v>
      </c>
      <c r="E7" s="7">
        <v>0.1988</v>
      </c>
      <c r="F7" s="7">
        <v>0.1404</v>
      </c>
      <c r="G7" s="8">
        <v>0.34110000000000001</v>
      </c>
      <c r="H7" s="8">
        <v>0.28889999999999999</v>
      </c>
      <c r="I7" s="8">
        <v>0.35649999999999998</v>
      </c>
      <c r="J7" s="8">
        <v>0.35420000000000001</v>
      </c>
      <c r="K7" s="7">
        <v>0.34639999999999999</v>
      </c>
      <c r="L7" s="7">
        <v>0.36770000000000003</v>
      </c>
      <c r="M7" s="7">
        <v>0.43159999999999998</v>
      </c>
      <c r="N7" s="7">
        <v>3.6900000000000002E-2</v>
      </c>
      <c r="O7" s="1"/>
      <c r="P7" s="1"/>
      <c r="Q7" s="7">
        <f t="shared" ref="Q7:Z7" si="3">C6-$AB4</f>
        <v>-0.1238375000000001</v>
      </c>
      <c r="R7" s="7">
        <f t="shared" si="3"/>
        <v>-0.22413750000000007</v>
      </c>
      <c r="S7" s="7">
        <f t="shared" si="3"/>
        <v>-0.22803750000000009</v>
      </c>
      <c r="T7" s="7">
        <f t="shared" si="3"/>
        <v>-0.26793750000000005</v>
      </c>
      <c r="U7" s="7">
        <f t="shared" si="3"/>
        <v>-8.4637500000000088E-2</v>
      </c>
      <c r="V7" s="7">
        <f t="shared" si="3"/>
        <v>-8.2337500000000063E-2</v>
      </c>
      <c r="W7" s="7">
        <f t="shared" si="3"/>
        <v>-3.9337500000000081E-2</v>
      </c>
      <c r="X7" s="7">
        <f t="shared" si="3"/>
        <v>-8.8337500000000069E-2</v>
      </c>
      <c r="Y7" s="7">
        <f t="shared" si="3"/>
        <v>-7.503750000000009E-2</v>
      </c>
      <c r="Z7" s="7">
        <f t="shared" si="3"/>
        <v>-9.3137500000000095E-2</v>
      </c>
      <c r="AA7" s="1"/>
      <c r="AB7" s="1"/>
      <c r="AC7" s="1"/>
      <c r="AD7" s="1"/>
    </row>
    <row r="8" spans="1:30" x14ac:dyDescent="0.3">
      <c r="A8" s="1"/>
      <c r="B8" s="6" t="s">
        <v>5</v>
      </c>
      <c r="C8" s="7">
        <v>0.32140000000000002</v>
      </c>
      <c r="D8" s="7">
        <v>0.16639999999999999</v>
      </c>
      <c r="E8" s="7">
        <v>0.1963</v>
      </c>
      <c r="F8" s="7">
        <v>0.1409</v>
      </c>
      <c r="G8" s="8">
        <v>0.33450000000000002</v>
      </c>
      <c r="H8" s="8">
        <v>0.35099999999999998</v>
      </c>
      <c r="I8" s="8">
        <v>0.32779999999999998</v>
      </c>
      <c r="J8" s="8">
        <v>0.31319999999999998</v>
      </c>
      <c r="K8" s="7">
        <v>0.3256</v>
      </c>
      <c r="L8" s="7">
        <v>0.33679999999999999</v>
      </c>
      <c r="M8" s="7">
        <v>0.39779999999999999</v>
      </c>
      <c r="N8" s="7">
        <v>4.0399999999999998E-2</v>
      </c>
      <c r="O8" s="1"/>
      <c r="P8" s="1"/>
      <c r="Q8" s="7">
        <f t="shared" ref="Q8:Z8" si="4">C7-$AB4</f>
        <v>-9.2737500000000084E-2</v>
      </c>
      <c r="R8" s="7">
        <f t="shared" si="4"/>
        <v>-0.22213750000000007</v>
      </c>
      <c r="S8" s="7">
        <f t="shared" si="4"/>
        <v>-0.20903750000000007</v>
      </c>
      <c r="T8" s="7">
        <f t="shared" si="4"/>
        <v>-0.26743750000000011</v>
      </c>
      <c r="U8" s="7">
        <f t="shared" si="4"/>
        <v>-6.6737500000000061E-2</v>
      </c>
      <c r="V8" s="7">
        <f t="shared" si="4"/>
        <v>-0.11893750000000008</v>
      </c>
      <c r="W8" s="7">
        <f t="shared" si="4"/>
        <v>-5.1337500000000091E-2</v>
      </c>
      <c r="X8" s="7">
        <f t="shared" si="4"/>
        <v>-5.363750000000006E-2</v>
      </c>
      <c r="Y8" s="7">
        <f t="shared" si="4"/>
        <v>-6.1437500000000089E-2</v>
      </c>
      <c r="Z8" s="7">
        <f t="shared" si="4"/>
        <v>-4.0137500000000048E-2</v>
      </c>
      <c r="AA8" s="1"/>
      <c r="AB8" s="1"/>
      <c r="AC8" s="1"/>
      <c r="AD8" s="1"/>
    </row>
    <row r="9" spans="1:30" x14ac:dyDescent="0.3">
      <c r="A9" s="1"/>
      <c r="B9" s="6" t="s">
        <v>6</v>
      </c>
      <c r="C9" s="7">
        <v>0.28170000000000001</v>
      </c>
      <c r="D9" s="7">
        <v>0.19020000000000001</v>
      </c>
      <c r="E9" s="7">
        <v>0.18629999999999999</v>
      </c>
      <c r="F9" s="7">
        <v>0.12540000000000001</v>
      </c>
      <c r="G9" s="8">
        <v>0.315</v>
      </c>
      <c r="H9" s="8">
        <v>0.35220000000000001</v>
      </c>
      <c r="I9" s="8">
        <v>0.34910000000000002</v>
      </c>
      <c r="J9" s="8">
        <v>0.31169999999999998</v>
      </c>
      <c r="K9" s="7">
        <v>0.32500000000000001</v>
      </c>
      <c r="L9" s="7">
        <v>0.33250000000000002</v>
      </c>
      <c r="M9" s="7">
        <v>0.43819999999999998</v>
      </c>
      <c r="N9" s="7">
        <v>3.7999999999999999E-2</v>
      </c>
      <c r="O9" s="1"/>
      <c r="P9" s="1"/>
      <c r="Q9" s="7">
        <f t="shared" ref="Q9:Z9" si="5">C8-$AB4</f>
        <v>-8.6437500000000056E-2</v>
      </c>
      <c r="R9" s="7">
        <f t="shared" si="5"/>
        <v>-0.24143750000000008</v>
      </c>
      <c r="S9" s="7">
        <f t="shared" si="5"/>
        <v>-0.21153750000000007</v>
      </c>
      <c r="T9" s="7">
        <f t="shared" si="5"/>
        <v>-0.26693750000000005</v>
      </c>
      <c r="U9" s="7">
        <f t="shared" si="5"/>
        <v>-7.3337500000000055E-2</v>
      </c>
      <c r="V9" s="7">
        <f t="shared" si="5"/>
        <v>-5.6837500000000096E-2</v>
      </c>
      <c r="W9" s="7">
        <f t="shared" si="5"/>
        <v>-8.0037500000000095E-2</v>
      </c>
      <c r="X9" s="7">
        <f t="shared" si="5"/>
        <v>-9.4637500000000097E-2</v>
      </c>
      <c r="Y9" s="7">
        <f t="shared" si="5"/>
        <v>-8.2237500000000074E-2</v>
      </c>
      <c r="Z9" s="7">
        <f t="shared" si="5"/>
        <v>-7.1037500000000087E-2</v>
      </c>
      <c r="AA9" s="1"/>
      <c r="AB9" s="1"/>
      <c r="AC9" s="1"/>
      <c r="AD9" s="1"/>
    </row>
    <row r="10" spans="1:30" x14ac:dyDescent="0.3">
      <c r="A10" s="1"/>
      <c r="B10" s="6" t="s">
        <v>7</v>
      </c>
      <c r="C10" s="7">
        <v>0.31890000000000002</v>
      </c>
      <c r="D10" s="7">
        <v>0.18770000000000001</v>
      </c>
      <c r="E10" s="7">
        <v>0.20039999999999999</v>
      </c>
      <c r="F10" s="7">
        <v>0.10349999999999999</v>
      </c>
      <c r="G10" s="8">
        <v>0.32650000000000001</v>
      </c>
      <c r="H10" s="8">
        <v>0.26219999999999999</v>
      </c>
      <c r="I10" s="8">
        <v>0.31950000000000001</v>
      </c>
      <c r="J10" s="8">
        <v>0.38590000000000002</v>
      </c>
      <c r="K10" s="7">
        <v>0.317</v>
      </c>
      <c r="L10" s="7">
        <v>0.35249999999999998</v>
      </c>
      <c r="M10" s="7">
        <v>0.44979999999999998</v>
      </c>
      <c r="N10" s="7">
        <v>3.7400000000000003E-2</v>
      </c>
      <c r="O10" s="1"/>
      <c r="P10" s="1"/>
      <c r="Q10" s="7">
        <f t="shared" ref="Q10:Z10" si="6">C9-$AB4</f>
        <v>-0.12613750000000007</v>
      </c>
      <c r="R10" s="7">
        <f t="shared" si="6"/>
        <v>-0.21763750000000007</v>
      </c>
      <c r="S10" s="7">
        <f t="shared" si="6"/>
        <v>-0.22153750000000008</v>
      </c>
      <c r="T10" s="7">
        <f t="shared" si="6"/>
        <v>-0.28243750000000006</v>
      </c>
      <c r="U10" s="7">
        <f t="shared" si="6"/>
        <v>-9.2837500000000073E-2</v>
      </c>
      <c r="V10" s="7">
        <f t="shared" si="6"/>
        <v>-5.5637500000000062E-2</v>
      </c>
      <c r="W10" s="7">
        <f t="shared" si="6"/>
        <v>-5.8737500000000054E-2</v>
      </c>
      <c r="X10" s="7">
        <f t="shared" si="6"/>
        <v>-9.6137500000000098E-2</v>
      </c>
      <c r="Y10" s="7">
        <f t="shared" si="6"/>
        <v>-8.2837500000000064E-2</v>
      </c>
      <c r="Z10" s="7">
        <f t="shared" si="6"/>
        <v>-7.5337500000000057E-2</v>
      </c>
      <c r="AA10" s="1"/>
      <c r="AB10" s="1"/>
      <c r="AC10" s="1"/>
      <c r="AD10" s="1"/>
    </row>
    <row r="11" spans="1:3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7">
        <f t="shared" ref="Q11:Z11" si="7">C10-$AB4</f>
        <v>-8.8937500000000058E-2</v>
      </c>
      <c r="R11" s="7">
        <f t="shared" si="7"/>
        <v>-0.22013750000000007</v>
      </c>
      <c r="S11" s="7">
        <f t="shared" si="7"/>
        <v>-0.20743750000000008</v>
      </c>
      <c r="T11" s="7">
        <f t="shared" si="7"/>
        <v>-0.30433750000000009</v>
      </c>
      <c r="U11" s="7">
        <f t="shared" si="7"/>
        <v>-8.1337500000000063E-2</v>
      </c>
      <c r="V11" s="7">
        <f t="shared" si="7"/>
        <v>-0.14563750000000009</v>
      </c>
      <c r="W11" s="7">
        <f t="shared" si="7"/>
        <v>-8.8337500000000069E-2</v>
      </c>
      <c r="X11" s="7">
        <f t="shared" si="7"/>
        <v>-2.1937500000000054E-2</v>
      </c>
      <c r="Y11" s="7">
        <f t="shared" si="7"/>
        <v>-9.0837500000000071E-2</v>
      </c>
      <c r="Z11" s="7">
        <f t="shared" si="7"/>
        <v>-5.5337500000000095E-2</v>
      </c>
      <c r="AA11" s="1"/>
      <c r="AB11" s="1"/>
      <c r="AC11" s="1"/>
      <c r="AD11" s="1"/>
    </row>
    <row r="12" spans="1:3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1" t="s">
        <v>8</v>
      </c>
      <c r="Q12" s="12">
        <f>AVERAGE($Q4:$Q11)</f>
        <v>-0.10593750000000007</v>
      </c>
      <c r="R12" s="12">
        <f>AVERAGE($R4:$R11)</f>
        <v>-0.23311250000000011</v>
      </c>
      <c r="S12" s="12">
        <f>AVERAGE($S4:$S11)</f>
        <v>-0.22102500000000011</v>
      </c>
      <c r="T12" s="12">
        <f>AVERAGE($T4:$T11)</f>
        <v>-0.26465000000000011</v>
      </c>
      <c r="U12" s="12">
        <f>AVERAGE($U4:$U11)</f>
        <v>-9.3012500000000081E-2</v>
      </c>
      <c r="V12" s="12">
        <f>AVERAGE($V4:$V11)</f>
        <v>-9.8762500000000086E-2</v>
      </c>
      <c r="W12" s="12">
        <f>AVERAGE($W4:$W11)</f>
        <v>-6.5162500000000068E-2</v>
      </c>
      <c r="X12" s="12">
        <f>AVERAGE($X4:$X11)</f>
        <v>-6.9787500000000072E-2</v>
      </c>
      <c r="Y12" s="12">
        <f>AVERAGE($Y4:$Y11)</f>
        <v>-7.9400000000000082E-2</v>
      </c>
      <c r="Z12" s="12">
        <f>AVERAGE($Z4:$Z11)</f>
        <v>-6.6500000000000073E-2</v>
      </c>
      <c r="AA12" s="1"/>
      <c r="AB12" s="1"/>
      <c r="AC12" s="1"/>
      <c r="AD12" s="1"/>
    </row>
    <row r="13" spans="1:3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0" t="s">
        <v>22</v>
      </c>
      <c r="Q14" s="12">
        <f>_xlfn.STDEV.S(Q4:Q11)</f>
        <v>1.6888373007994083E-2</v>
      </c>
      <c r="R14" s="12">
        <f t="shared" ref="R14:Z14" si="8">_xlfn.STDEV.S(R4:R11)</f>
        <v>1.3717845520134928E-2</v>
      </c>
      <c r="S14" s="12">
        <f t="shared" si="8"/>
        <v>1.0482834608471676E-2</v>
      </c>
      <c r="T14" s="12">
        <f t="shared" si="8"/>
        <v>2.5209376798553125E-2</v>
      </c>
      <c r="U14" s="12">
        <f t="shared" si="8"/>
        <v>2.0191069454446528E-2</v>
      </c>
      <c r="V14" s="12">
        <f t="shared" si="8"/>
        <v>3.6781235510981461E-2</v>
      </c>
      <c r="W14" s="12">
        <f t="shared" si="8"/>
        <v>2.1859731406009043E-2</v>
      </c>
      <c r="X14" s="12">
        <f t="shared" si="8"/>
        <v>3.7907971268775237E-2</v>
      </c>
      <c r="Y14" s="12">
        <f t="shared" si="8"/>
        <v>2.4954183016079684E-2</v>
      </c>
      <c r="Z14" s="12">
        <f t="shared" si="8"/>
        <v>2.5410849060981809E-2</v>
      </c>
      <c r="AA14" s="1"/>
      <c r="AB14" s="1"/>
      <c r="AC14" s="1"/>
      <c r="AD14" s="1"/>
    </row>
    <row r="15" spans="1:3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0" t="s">
        <v>23</v>
      </c>
      <c r="Q15" s="12">
        <f>Q14/SQRT(8)</f>
        <v>5.9709415385802329E-3</v>
      </c>
      <c r="R15" s="12">
        <f t="shared" ref="R15:Z15" si="9">R14/SQRT(8)</f>
        <v>4.8499907952784544E-3</v>
      </c>
      <c r="S15" s="12">
        <f t="shared" si="9"/>
        <v>3.7062417188536739E-3</v>
      </c>
      <c r="T15" s="12">
        <f t="shared" si="9"/>
        <v>8.9128606418718663E-3</v>
      </c>
      <c r="U15" s="12">
        <f t="shared" si="9"/>
        <v>7.1386210653238517E-3</v>
      </c>
      <c r="V15" s="12">
        <f t="shared" si="9"/>
        <v>1.3004130525117218E-2</v>
      </c>
      <c r="W15" s="12">
        <f t="shared" si="9"/>
        <v>7.7285821560527683E-3</v>
      </c>
      <c r="X15" s="12">
        <f t="shared" si="9"/>
        <v>1.340249177258789E-2</v>
      </c>
      <c r="Y15" s="12">
        <f t="shared" si="9"/>
        <v>8.8226360148200584E-3</v>
      </c>
      <c r="Z15" s="12">
        <f t="shared" si="9"/>
        <v>8.9840918433640241E-3</v>
      </c>
      <c r="AA15" s="1"/>
      <c r="AB15" s="1"/>
      <c r="AC15" s="1"/>
      <c r="AD15" s="1"/>
    </row>
    <row r="16" spans="1:3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4" t="s">
        <v>19</v>
      </c>
      <c r="R19" s="14"/>
      <c r="S19" s="14"/>
      <c r="T19" s="14"/>
      <c r="U19" s="14"/>
      <c r="V19" s="14"/>
      <c r="W19" s="14"/>
      <c r="X19" s="14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3"/>
      <c r="Q20" s="11" t="s">
        <v>9</v>
      </c>
      <c r="R20" s="11" t="s">
        <v>10</v>
      </c>
      <c r="S20" s="11" t="s">
        <v>11</v>
      </c>
      <c r="T20" s="11" t="s">
        <v>12</v>
      </c>
      <c r="U20" s="11" t="s">
        <v>13</v>
      </c>
      <c r="V20" s="11" t="s">
        <v>14</v>
      </c>
      <c r="W20" s="11" t="s">
        <v>15</v>
      </c>
      <c r="X20" s="11" t="s">
        <v>16</v>
      </c>
      <c r="Y20" s="1"/>
      <c r="Z20" s="1"/>
      <c r="AA20" s="1"/>
      <c r="AB20" s="4" t="s">
        <v>20</v>
      </c>
      <c r="AC20" s="1"/>
      <c r="AD20" s="1"/>
    </row>
    <row r="21" spans="1:3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2">
        <f t="shared" ref="Q21:X21" si="10">C3-$AB21</f>
        <v>-2.5787500000000074E-2</v>
      </c>
      <c r="R21" s="12">
        <f t="shared" si="10"/>
        <v>-0.17378750000000007</v>
      </c>
      <c r="S21" s="12">
        <f t="shared" si="10"/>
        <v>-0.16248750000000006</v>
      </c>
      <c r="T21" s="12">
        <f t="shared" si="10"/>
        <v>-0.15668750000000006</v>
      </c>
      <c r="U21" s="12">
        <f t="shared" si="10"/>
        <v>-4.8287500000000039E-2</v>
      </c>
      <c r="V21" s="12">
        <f t="shared" si="10"/>
        <v>-7.8687500000000077E-2</v>
      </c>
      <c r="W21" s="12">
        <f t="shared" si="10"/>
        <v>-1.6387500000000055E-2</v>
      </c>
      <c r="X21" s="12">
        <f t="shared" si="10"/>
        <v>-5.2987500000000076E-2</v>
      </c>
      <c r="Y21" s="1"/>
      <c r="Z21" s="1"/>
      <c r="AA21" s="1"/>
      <c r="AB21" s="3">
        <f>AVERAGE(K3:L10)</f>
        <v>0.33488750000000006</v>
      </c>
      <c r="AC21" s="1"/>
      <c r="AD21" s="1"/>
    </row>
    <row r="22" spans="1:3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2">
        <f t="shared" ref="Q22:X22" si="11">C4-$AB21</f>
        <v>-5.2287500000000042E-2</v>
      </c>
      <c r="R22" s="12">
        <f t="shared" si="11"/>
        <v>-0.18058750000000007</v>
      </c>
      <c r="S22" s="12">
        <f t="shared" si="11"/>
        <v>-0.15658750000000007</v>
      </c>
      <c r="T22" s="12">
        <f t="shared" si="11"/>
        <v>-0.15588750000000007</v>
      </c>
      <c r="U22" s="12">
        <f t="shared" si="11"/>
        <v>-4.4187500000000046E-2</v>
      </c>
      <c r="V22" s="12">
        <f t="shared" si="11"/>
        <v>-1.9087500000000035E-2</v>
      </c>
      <c r="W22" s="12">
        <f t="shared" si="11"/>
        <v>3.791249999999996E-2</v>
      </c>
      <c r="X22" s="12">
        <f t="shared" si="11"/>
        <v>5.3912499999999919E-2</v>
      </c>
      <c r="Y22" s="1"/>
      <c r="Z22" s="1"/>
      <c r="AA22" s="1"/>
      <c r="AB22" s="1"/>
      <c r="AC22" s="1"/>
      <c r="AD22" s="1"/>
    </row>
    <row r="23" spans="1:3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2">
        <f t="shared" ref="Q23:X23" si="12">C5-$AB21</f>
        <v>-3.2487500000000058E-2</v>
      </c>
      <c r="R23" s="12">
        <f t="shared" si="12"/>
        <v>-0.16618750000000007</v>
      </c>
      <c r="S23" s="12">
        <f t="shared" si="12"/>
        <v>-0.15268750000000006</v>
      </c>
      <c r="T23" s="12">
        <f t="shared" si="12"/>
        <v>-0.19668750000000007</v>
      </c>
      <c r="U23" s="12">
        <f t="shared" si="12"/>
        <v>-3.388750000000007E-2</v>
      </c>
      <c r="V23" s="12">
        <f t="shared" si="12"/>
        <v>-1.4087500000000086E-2</v>
      </c>
      <c r="W23" s="12">
        <f t="shared" si="12"/>
        <v>-6.1875000000000679E-3</v>
      </c>
      <c r="X23" s="12">
        <f t="shared" si="12"/>
        <v>1.431249999999995E-2</v>
      </c>
      <c r="Y23" s="1"/>
      <c r="Z23" s="1"/>
      <c r="AA23" s="1"/>
      <c r="AB23" s="1"/>
      <c r="AC23" s="1"/>
      <c r="AD23" s="1"/>
    </row>
    <row r="24" spans="1:3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2">
        <f t="shared" ref="Q24:X24" si="13">C6-$AB21</f>
        <v>-5.0887500000000085E-2</v>
      </c>
      <c r="R24" s="12">
        <f t="shared" si="13"/>
        <v>-0.15118750000000006</v>
      </c>
      <c r="S24" s="12">
        <f t="shared" si="13"/>
        <v>-0.15508750000000007</v>
      </c>
      <c r="T24" s="12">
        <f t="shared" si="13"/>
        <v>-0.19498750000000006</v>
      </c>
      <c r="U24" s="12">
        <f t="shared" si="13"/>
        <v>-1.1687500000000073E-2</v>
      </c>
      <c r="V24" s="12">
        <f t="shared" si="13"/>
        <v>-9.3875000000000486E-3</v>
      </c>
      <c r="W24" s="12">
        <f t="shared" si="13"/>
        <v>3.3612499999999934E-2</v>
      </c>
      <c r="X24" s="12">
        <f t="shared" si="13"/>
        <v>-1.5387500000000054E-2</v>
      </c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2">
        <f t="shared" ref="Q25:X25" si="14">C7-$AB21</f>
        <v>-1.9787500000000069E-2</v>
      </c>
      <c r="R25" s="12">
        <f t="shared" si="14"/>
        <v>-0.14918750000000006</v>
      </c>
      <c r="S25" s="12">
        <f t="shared" si="14"/>
        <v>-0.13608750000000006</v>
      </c>
      <c r="T25" s="12">
        <f t="shared" si="14"/>
        <v>-0.19448750000000006</v>
      </c>
      <c r="U25" s="12">
        <f t="shared" si="14"/>
        <v>6.2124999999999542E-3</v>
      </c>
      <c r="V25" s="12">
        <f t="shared" si="14"/>
        <v>-4.598750000000007E-2</v>
      </c>
      <c r="W25" s="12">
        <f t="shared" si="14"/>
        <v>2.1612499999999923E-2</v>
      </c>
      <c r="X25" s="12">
        <f t="shared" si="14"/>
        <v>1.9312499999999955E-2</v>
      </c>
      <c r="Y25" s="1"/>
      <c r="Z25" s="1"/>
      <c r="AA25" s="1"/>
      <c r="AB25" s="1"/>
      <c r="AC25" s="1"/>
      <c r="AD25" s="1"/>
    </row>
    <row r="26" spans="1:3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2">
        <f t="shared" ref="Q26:X26" si="15">C8-$AB21</f>
        <v>-1.3487500000000041E-2</v>
      </c>
      <c r="R26" s="12">
        <f t="shared" si="15"/>
        <v>-0.16848750000000007</v>
      </c>
      <c r="S26" s="12">
        <f t="shared" si="15"/>
        <v>-0.13858750000000006</v>
      </c>
      <c r="T26" s="12">
        <f t="shared" si="15"/>
        <v>-0.19398750000000006</v>
      </c>
      <c r="U26" s="12">
        <f t="shared" si="15"/>
        <v>-3.8750000000004059E-4</v>
      </c>
      <c r="V26" s="12">
        <f t="shared" si="15"/>
        <v>1.6112499999999919E-2</v>
      </c>
      <c r="W26" s="12">
        <f t="shared" si="15"/>
        <v>-7.0875000000000798E-3</v>
      </c>
      <c r="X26" s="12">
        <f t="shared" si="15"/>
        <v>-2.1687500000000082E-2</v>
      </c>
      <c r="Y26" s="1"/>
      <c r="Z26" s="1"/>
      <c r="AA26" s="1"/>
      <c r="AB26" s="1"/>
      <c r="AC26" s="1"/>
      <c r="AD26" s="1"/>
    </row>
    <row r="27" spans="1:3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2">
        <f t="shared" ref="Q27:X27" si="16">C9-$AB21</f>
        <v>-5.3187500000000054E-2</v>
      </c>
      <c r="R27" s="12">
        <f t="shared" si="16"/>
        <v>-0.14468750000000005</v>
      </c>
      <c r="S27" s="12">
        <f t="shared" si="16"/>
        <v>-0.14858750000000007</v>
      </c>
      <c r="T27" s="12">
        <f t="shared" si="16"/>
        <v>-0.20948750000000005</v>
      </c>
      <c r="U27" s="12">
        <f t="shared" si="16"/>
        <v>-1.9887500000000058E-2</v>
      </c>
      <c r="V27" s="12">
        <f t="shared" si="16"/>
        <v>1.7312499999999953E-2</v>
      </c>
      <c r="W27" s="12">
        <f t="shared" si="16"/>
        <v>1.4212499999999961E-2</v>
      </c>
      <c r="X27" s="12">
        <f t="shared" si="16"/>
        <v>-2.3187500000000083E-2</v>
      </c>
      <c r="Y27" s="1"/>
      <c r="Z27" s="1"/>
      <c r="AA27" s="1"/>
      <c r="AB27" s="1"/>
      <c r="AC27" s="1"/>
      <c r="AD27" s="1"/>
    </row>
    <row r="28" spans="1:3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2">
        <f t="shared" ref="Q28:X28" si="17">C10-$AB21</f>
        <v>-1.5987500000000043E-2</v>
      </c>
      <c r="R28" s="12">
        <f t="shared" si="17"/>
        <v>-0.14718750000000005</v>
      </c>
      <c r="S28" s="12">
        <f t="shared" si="17"/>
        <v>-0.13448750000000007</v>
      </c>
      <c r="T28" s="12">
        <f t="shared" si="17"/>
        <v>-0.23138750000000008</v>
      </c>
      <c r="U28" s="12">
        <f t="shared" si="17"/>
        <v>-8.3875000000000477E-3</v>
      </c>
      <c r="V28" s="12">
        <f t="shared" si="17"/>
        <v>-7.2687500000000071E-2</v>
      </c>
      <c r="W28" s="12">
        <f t="shared" si="17"/>
        <v>-1.5387500000000054E-2</v>
      </c>
      <c r="X28" s="12">
        <f t="shared" si="17"/>
        <v>5.1012499999999961E-2</v>
      </c>
      <c r="Y28" s="1"/>
      <c r="Z28" s="1"/>
      <c r="AA28" s="1"/>
      <c r="AB28" s="1"/>
      <c r="AC28" s="1"/>
      <c r="AD28" s="1"/>
    </row>
    <row r="29" spans="1:3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1" t="s">
        <v>8</v>
      </c>
      <c r="Q29" s="12">
        <f>AVERAGE(Q21:Q28)</f>
        <v>-3.2987500000000058E-2</v>
      </c>
      <c r="R29" s="12">
        <f t="shared" ref="R29:T29" si="18">AVERAGE(R21:R28)</f>
        <v>-0.16016250000000004</v>
      </c>
      <c r="S29" s="12">
        <f t="shared" si="18"/>
        <v>-0.14807500000000007</v>
      </c>
      <c r="T29" s="12">
        <f t="shared" si="18"/>
        <v>-0.19170000000000006</v>
      </c>
      <c r="U29" s="12">
        <f>AVERAGE(U21:U28)</f>
        <v>-2.0062500000000053E-2</v>
      </c>
      <c r="V29" s="12">
        <f>AVERAGE(V21:V28)</f>
        <v>-2.5812500000000065E-2</v>
      </c>
      <c r="W29" s="12">
        <f>AVERAGE(W21:W28)</f>
        <v>7.7874999999999403E-3</v>
      </c>
      <c r="X29" s="12">
        <f>AVERAGE(X21:X28)</f>
        <v>3.1624999999999362E-3</v>
      </c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0" t="s">
        <v>22</v>
      </c>
      <c r="Q31" s="12">
        <f>_xlfn.STDEV.S(Q21:Q28)</f>
        <v>1.6888373007994076E-2</v>
      </c>
      <c r="R31" s="12">
        <f t="shared" ref="R31:W31" si="19">_xlfn.STDEV.S(R21:R28)</f>
        <v>1.3717845520134928E-2</v>
      </c>
      <c r="S31" s="12">
        <f t="shared" si="19"/>
        <v>1.0482834608471676E-2</v>
      </c>
      <c r="T31" s="12">
        <f t="shared" si="19"/>
        <v>2.5209376798552917E-2</v>
      </c>
      <c r="U31" s="12">
        <f t="shared" si="19"/>
        <v>2.0191069454446584E-2</v>
      </c>
      <c r="V31" s="12">
        <f t="shared" si="19"/>
        <v>3.6781235510981489E-2</v>
      </c>
      <c r="W31" s="12">
        <f t="shared" si="19"/>
        <v>2.1859731406009025E-2</v>
      </c>
      <c r="X31" s="12">
        <f>_xlfn.STDEV.S(X21:X28)</f>
        <v>3.7907971268775202E-2</v>
      </c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0" t="s">
        <v>23</v>
      </c>
      <c r="Q32" s="12">
        <f>Q31/SQRT(8)</f>
        <v>5.9709415385802312E-3</v>
      </c>
      <c r="R32" s="12">
        <f t="shared" ref="R32:X32" si="20">R31/SQRT(8)</f>
        <v>4.8499907952784544E-3</v>
      </c>
      <c r="S32" s="12">
        <f t="shared" si="20"/>
        <v>3.7062417188536739E-3</v>
      </c>
      <c r="T32" s="12">
        <f t="shared" si="20"/>
        <v>8.9128606418717917E-3</v>
      </c>
      <c r="U32" s="12">
        <f t="shared" si="20"/>
        <v>7.1386210653238717E-3</v>
      </c>
      <c r="V32" s="12">
        <f t="shared" si="20"/>
        <v>1.3004130525117228E-2</v>
      </c>
      <c r="W32" s="12">
        <f t="shared" si="20"/>
        <v>7.7285821560527622E-3</v>
      </c>
      <c r="X32" s="12">
        <f t="shared" si="20"/>
        <v>1.3402491772587878E-2</v>
      </c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1" t="s">
        <v>16</v>
      </c>
      <c r="V35" s="11" t="s">
        <v>15</v>
      </c>
      <c r="W35" s="11" t="s">
        <v>14</v>
      </c>
      <c r="X35" s="11" t="s">
        <v>13</v>
      </c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>
        <v>-7.0000000000000007E-2</v>
      </c>
      <c r="V36" s="1">
        <v>-6.5000000000000002E-2</v>
      </c>
      <c r="W36" s="1">
        <v>-9.9000000000000005E-2</v>
      </c>
      <c r="X36" s="1">
        <f>-0.093</f>
        <v>-9.2999999999999999E-2</v>
      </c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3.7900000000000003E-2</v>
      </c>
      <c r="V37" s="1">
        <v>2.1899999999999999E-2</v>
      </c>
      <c r="W37" s="1">
        <v>3.6799999999999999E-2</v>
      </c>
      <c r="X37" s="1">
        <v>2.0199999999999999E-2</v>
      </c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3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3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3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Q41" s="13"/>
      <c r="R41" s="1"/>
    </row>
    <row r="42" spans="1:30" x14ac:dyDescent="0.3">
      <c r="Q42" s="11" t="s">
        <v>9</v>
      </c>
      <c r="R42" s="11">
        <v>-0.10593750000000007</v>
      </c>
      <c r="S42" s="11"/>
      <c r="T42" s="11"/>
    </row>
    <row r="43" spans="1:30" x14ac:dyDescent="0.3">
      <c r="Q43" s="11" t="s">
        <v>10</v>
      </c>
      <c r="R43" s="11">
        <v>-0.23311250000000011</v>
      </c>
    </row>
    <row r="44" spans="1:30" x14ac:dyDescent="0.3">
      <c r="Q44" s="11" t="s">
        <v>11</v>
      </c>
      <c r="R44" s="11">
        <v>-0.22102500000000011</v>
      </c>
    </row>
    <row r="45" spans="1:30" x14ac:dyDescent="0.3">
      <c r="Q45" s="11" t="s">
        <v>12</v>
      </c>
      <c r="R45">
        <v>-0.26465000000000011</v>
      </c>
    </row>
    <row r="46" spans="1:30" x14ac:dyDescent="0.3">
      <c r="Q46" s="11" t="s">
        <v>16</v>
      </c>
      <c r="R46">
        <v>-9.3012500000000081E-2</v>
      </c>
    </row>
    <row r="47" spans="1:30" x14ac:dyDescent="0.3">
      <c r="Q47" s="11" t="s">
        <v>15</v>
      </c>
      <c r="R47">
        <v>-9.8762500000000086E-2</v>
      </c>
    </row>
    <row r="48" spans="1:30" x14ac:dyDescent="0.3">
      <c r="Q48" s="11" t="s">
        <v>14</v>
      </c>
      <c r="R48">
        <v>-6.5162500000000068E-2</v>
      </c>
    </row>
    <row r="49" spans="17:18" x14ac:dyDescent="0.3">
      <c r="Q49" s="11" t="s">
        <v>13</v>
      </c>
      <c r="R49">
        <v>-6.9787500000000072E-2</v>
      </c>
    </row>
    <row r="50" spans="17:18" x14ac:dyDescent="0.3">
      <c r="Q50" t="s">
        <v>24</v>
      </c>
      <c r="R50">
        <v>-7.9400000000000082E-2</v>
      </c>
    </row>
    <row r="51" spans="17:18" x14ac:dyDescent="0.3">
      <c r="Q51" t="s">
        <v>25</v>
      </c>
      <c r="R51">
        <v>-6.6500000000000073E-2</v>
      </c>
    </row>
    <row r="74" spans="18:19" x14ac:dyDescent="0.3">
      <c r="R74" t="s">
        <v>24</v>
      </c>
      <c r="S74" t="s">
        <v>25</v>
      </c>
    </row>
  </sheetData>
  <mergeCells count="2">
    <mergeCell ref="Q2:Z2"/>
    <mergeCell ref="Q19:X19"/>
  </mergeCells>
  <pageMargins left="0.7" right="0.7" top="0.75" bottom="0.75" header="0.3" footer="0.3"/>
  <pageSetup paperSize="9" scale="5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9D38C-0916-4770-996E-6BBC20CEA708}">
  <sheetPr>
    <pageSetUpPr fitToPage="1"/>
  </sheetPr>
  <dimension ref="A1"/>
  <sheetViews>
    <sheetView tabSelected="1" zoomScale="70" zoomScaleNormal="70" workbookViewId="0">
      <selection activeCell="F21" sqref="F21"/>
    </sheetView>
  </sheetViews>
  <sheetFormatPr defaultRowHeight="14.4" x14ac:dyDescent="0.3"/>
  <sheetData/>
  <pageMargins left="0.7" right="0.7" top="0.75" bottom="0.75" header="0.3" footer="0.3"/>
  <pageSetup paperSize="9" scale="4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MTT Assay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wldbs thd</dc:creator>
  <cp:lastModifiedBy>wldbs thd</cp:lastModifiedBy>
  <cp:lastPrinted>2026-10-10T19:13:54Z</cp:lastPrinted>
  <dcterms:created xsi:type="dcterms:W3CDTF">2026-10-05T13:04:38Z</dcterms:created>
  <dcterms:modified xsi:type="dcterms:W3CDTF">2026-10-10T19:14:05Z</dcterms:modified>
</cp:coreProperties>
</file>