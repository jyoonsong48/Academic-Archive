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9fbdc9f5a82c56/바탕 화면/UNI/Year 3/6018BIO/"/>
    </mc:Choice>
  </mc:AlternateContent>
  <xr:revisionPtr revIDLastSave="462" documentId="8_{EA037A44-632C-40CA-A404-6819E14B8DFF}" xr6:coauthVersionLast="47" xr6:coauthVersionMax="47" xr10:uidLastSave="{965BF70B-02E1-45C0-933B-D690B4EE7DD0}"/>
  <bookViews>
    <workbookView xWindow="-108" yWindow="-108" windowWidth="23256" windowHeight="13176" xr2:uid="{AB57D1E2-00CE-46EA-9AE9-43E846318956}"/>
  </bookViews>
  <sheets>
    <sheet name="Amplication Curve" sheetId="3" r:id="rId1"/>
    <sheet name="Melt Curv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3" l="1"/>
  <c r="P31" i="3"/>
  <c r="Q31" i="3" s="1"/>
  <c r="P7" i="3"/>
  <c r="P20" i="3" s="1"/>
  <c r="P30" i="3"/>
  <c r="P6" i="3"/>
  <c r="P19" i="3" s="1"/>
  <c r="P29" i="3"/>
  <c r="P5" i="3"/>
  <c r="P18" i="3" s="1"/>
  <c r="P9" i="3"/>
  <c r="P22" i="3" s="1"/>
  <c r="P8" i="3"/>
  <c r="P21" i="3" s="1"/>
  <c r="Q28" i="3" l="1"/>
  <c r="Q4" i="3"/>
  <c r="Q7" i="3"/>
  <c r="R4" i="3" s="1"/>
  <c r="S4" i="3" s="1"/>
  <c r="R28" i="3"/>
  <c r="S28" i="3" s="1"/>
</calcChain>
</file>

<file path=xl/sharedStrings.xml><?xml version="1.0" encoding="utf-8"?>
<sst xmlns="http://schemas.openxmlformats.org/spreadsheetml/2006/main" count="217" uniqueCount="58">
  <si>
    <t>Well</t>
  </si>
  <si>
    <t>Fluor</t>
  </si>
  <si>
    <t>Target</t>
  </si>
  <si>
    <t>Content</t>
  </si>
  <si>
    <t>Sample</t>
  </si>
  <si>
    <t>Cq</t>
  </si>
  <si>
    <t>A1</t>
  </si>
  <si>
    <t>SYBR</t>
  </si>
  <si>
    <t>Unknown</t>
  </si>
  <si>
    <t>N/A</t>
  </si>
  <si>
    <t>A2</t>
  </si>
  <si>
    <t>19.947143302664134</t>
  </si>
  <si>
    <t>B1</t>
  </si>
  <si>
    <t>36.95278825456261</t>
  </si>
  <si>
    <t>B2</t>
  </si>
  <si>
    <t>18.963423707574247</t>
  </si>
  <si>
    <t>C1</t>
  </si>
  <si>
    <t>37.69612909766765</t>
  </si>
  <si>
    <t>C2</t>
  </si>
  <si>
    <t>19.94373247253931</t>
  </si>
  <si>
    <t>D1</t>
  </si>
  <si>
    <t>37.22340194238203</t>
  </si>
  <si>
    <t>D2</t>
  </si>
  <si>
    <t>18.919063368113225</t>
  </si>
  <si>
    <t>E1</t>
  </si>
  <si>
    <t>36.838194757321794</t>
  </si>
  <si>
    <t>E2</t>
  </si>
  <si>
    <t>18.497909056520264</t>
  </si>
  <si>
    <t>F1</t>
  </si>
  <si>
    <t>39.026220576484285</t>
  </si>
  <si>
    <t>F2</t>
  </si>
  <si>
    <t>18.98363267036148</t>
  </si>
  <si>
    <t>G1</t>
  </si>
  <si>
    <t>G2</t>
  </si>
  <si>
    <t>31.70286924392704</t>
  </si>
  <si>
    <t>H1</t>
  </si>
  <si>
    <t>H2</t>
  </si>
  <si>
    <t>Control</t>
  </si>
  <si>
    <t>LPS</t>
  </si>
  <si>
    <t>Water</t>
  </si>
  <si>
    <t>Genomic</t>
  </si>
  <si>
    <t>Mitochondrial</t>
  </si>
  <si>
    <t>Blank</t>
  </si>
  <si>
    <t>Melt temp</t>
  </si>
  <si>
    <t>Peak height</t>
  </si>
  <si>
    <t>Begin temp</t>
  </si>
  <si>
    <t>End temp</t>
  </si>
  <si>
    <t>None</t>
  </si>
  <si>
    <t># of mtDNA copy</t>
  </si>
  <si>
    <t>ΔΔCq</t>
  </si>
  <si>
    <t>Fold Change</t>
  </si>
  <si>
    <t>-</t>
  </si>
  <si>
    <t>ΔCq averg.</t>
  </si>
  <si>
    <t>(excluded)</t>
  </si>
  <si>
    <t>ΔCq (Cq_genomic − Cq_mito)</t>
  </si>
  <si>
    <t>NTC</t>
  </si>
  <si>
    <t>Mitochondrial
 (MT-TL1 gene)</t>
  </si>
  <si>
    <t>Genomic
(B2M gene)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</si>
</sst>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나눔고딕"/>
      <family val="3"/>
      <charset val="129"/>
    </font>
    <font>
      <sz val="11"/>
      <color rgb="FFFF0000"/>
      <name val="나눔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Border="1"/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271054</xdr:colOff>
      <xdr:row>18</xdr:row>
      <xdr:rowOff>56605</xdr:rowOff>
    </xdr:from>
    <xdr:to>
      <xdr:col>6</xdr:col>
      <xdr:colOff>1284514</xdr:colOff>
      <xdr:row>21</xdr:row>
      <xdr:rowOff>48986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949BB0-DA8C-4983-B3A1-7557E3159DC0}"/>
            </a:ext>
          </a:extLst>
        </xdr:cNvPr>
        <xdr:cNvSpPr txBox="1"/>
      </xdr:nvSpPr>
      <xdr:spPr>
        <a:xfrm>
          <a:off x="2350225" y="3387634"/>
          <a:ext cx="2232660" cy="547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after</a:t>
          </a:r>
          <a:r>
            <a:rPr lang="en-GB" sz="1100" baseline="0"/>
            <a:t> qPCR: gel electrophoresis to check the size of DNA</a:t>
          </a:r>
          <a:endParaRPr lang="en-GB" sz="1100"/>
        </a:p>
      </xdr:txBody>
    </xdr:sp>
    <xdr:clientData/>
  </xdr:twoCellAnchor>
  <xdr:twoCellAnchor>
    <xdr:from>
      <xdr:col>4</xdr:col>
      <xdr:colOff>236220</xdr:colOff>
      <xdr:row>12</xdr:row>
      <xdr:rowOff>114300</xdr:rowOff>
    </xdr:from>
    <xdr:to>
      <xdr:col>9</xdr:col>
      <xdr:colOff>261257</xdr:colOff>
      <xdr:row>17</xdr:row>
      <xdr:rowOff>10886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973060-4558-EF18-6C2B-44439337929D}"/>
            </a:ext>
          </a:extLst>
        </xdr:cNvPr>
        <xdr:cNvSpPr txBox="1"/>
      </xdr:nvSpPr>
      <xdr:spPr>
        <a:xfrm>
          <a:off x="2315391" y="2334986"/>
          <a:ext cx="3693523" cy="821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F1: </a:t>
          </a:r>
          <a:r>
            <a:rPr lang="en-GB"/>
            <a:t>genomic Cq outlier -&gt; excluded in second analysis</a:t>
          </a:r>
          <a:endParaRPr lang="en-GB" sz="1100"/>
        </a:p>
        <a:p>
          <a:r>
            <a:rPr lang="en-GB" sz="1100"/>
            <a:t>G2:</a:t>
          </a:r>
          <a:r>
            <a:rPr lang="en-GB" sz="1100" baseline="0"/>
            <a:t> possible contamination</a:t>
          </a:r>
        </a:p>
        <a:p>
          <a:r>
            <a:rPr lang="en-GB" sz="1100" baseline="0"/>
            <a:t>NTC: No Template Control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12</xdr:row>
      <xdr:rowOff>137160</xdr:rowOff>
    </xdr:from>
    <xdr:to>
      <xdr:col>6</xdr:col>
      <xdr:colOff>173916</xdr:colOff>
      <xdr:row>18</xdr:row>
      <xdr:rowOff>57375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76F0C3-7286-4D01-BBA5-8034CD984CC6}"/>
            </a:ext>
          </a:extLst>
        </xdr:cNvPr>
        <xdr:cNvSpPr txBox="1"/>
      </xdr:nvSpPr>
      <xdr:spPr>
        <a:xfrm>
          <a:off x="716280" y="2499360"/>
          <a:ext cx="3115236" cy="1017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G2: contamination</a:t>
          </a:r>
        </a:p>
        <a:p>
          <a:r>
            <a:rPr lang="en-GB" sz="1100"/>
            <a:t>nuclear</a:t>
          </a:r>
          <a:r>
            <a:rPr lang="en-GB" sz="1100" baseline="0"/>
            <a:t> genomic failed: no melt temp / peak</a:t>
          </a:r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E86E-39CE-4561-9797-0BA7AE641D60}">
  <sheetPr>
    <pageSetUpPr fitToPage="1"/>
  </sheetPr>
  <dimension ref="B2:T35"/>
  <sheetViews>
    <sheetView tabSelected="1" zoomScale="70" zoomScaleNormal="70" workbookViewId="0">
      <selection activeCell="E10" sqref="E10"/>
    </sheetView>
  </sheetViews>
  <sheetFormatPr defaultRowHeight="14.4" x14ac:dyDescent="0.3"/>
  <cols>
    <col min="2" max="2" width="5.109375" bestFit="1" customWidth="1"/>
    <col min="3" max="3" width="5.88671875" bestFit="1" customWidth="1"/>
    <col min="4" max="4" width="10.44140625" customWidth="1"/>
    <col min="5" max="5" width="10" bestFit="1" customWidth="1"/>
    <col min="6" max="6" width="7.77734375" bestFit="1" customWidth="1"/>
    <col min="7" max="7" width="22.6640625" bestFit="1" customWidth="1"/>
    <col min="8" max="8" width="8" bestFit="1" customWidth="1"/>
    <col min="9" max="9" width="5.109375" bestFit="1" customWidth="1"/>
    <col min="10" max="10" width="5.88671875" bestFit="1" customWidth="1"/>
    <col min="11" max="11" width="19.33203125" customWidth="1"/>
    <col min="12" max="12" width="10" bestFit="1" customWidth="1"/>
    <col min="13" max="13" width="7.77734375" customWidth="1"/>
    <col min="14" max="14" width="22.6640625" bestFit="1" customWidth="1"/>
    <col min="16" max="16" width="31.88671875" customWidth="1"/>
    <col min="17" max="17" width="20" customWidth="1"/>
    <col min="19" max="19" width="14.5546875" customWidth="1"/>
  </cols>
  <sheetData>
    <row r="2" spans="2:20" x14ac:dyDescent="0.3">
      <c r="B2" s="17" t="s">
        <v>40</v>
      </c>
      <c r="C2" s="17"/>
      <c r="D2" s="17"/>
      <c r="E2" s="17"/>
      <c r="F2" s="17"/>
      <c r="G2" s="17"/>
      <c r="H2" s="13"/>
      <c r="I2" s="17" t="s">
        <v>41</v>
      </c>
      <c r="J2" s="17"/>
      <c r="K2" s="17"/>
      <c r="L2" s="17"/>
      <c r="M2" s="17"/>
      <c r="N2" s="17"/>
      <c r="O2" s="1"/>
      <c r="P2" s="17" t="s">
        <v>54</v>
      </c>
      <c r="Q2" s="17" t="s">
        <v>52</v>
      </c>
      <c r="R2" s="17" t="s">
        <v>49</v>
      </c>
      <c r="S2" s="17" t="s">
        <v>50</v>
      </c>
      <c r="T2" s="3"/>
    </row>
    <row r="3" spans="2:20" x14ac:dyDescent="0.3"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3"/>
      <c r="I3" s="10" t="s">
        <v>0</v>
      </c>
      <c r="J3" s="10" t="s">
        <v>1</v>
      </c>
      <c r="K3" s="10" t="s">
        <v>2</v>
      </c>
      <c r="L3" s="10" t="s">
        <v>3</v>
      </c>
      <c r="M3" s="10" t="s">
        <v>4</v>
      </c>
      <c r="N3" s="10" t="s">
        <v>5</v>
      </c>
      <c r="O3" s="4"/>
      <c r="P3" s="17"/>
      <c r="Q3" s="17"/>
      <c r="R3" s="17"/>
      <c r="S3" s="17"/>
      <c r="T3" s="3"/>
    </row>
    <row r="4" spans="2:20" ht="14.4" customHeight="1" x14ac:dyDescent="0.3">
      <c r="B4" s="7" t="s">
        <v>6</v>
      </c>
      <c r="C4" s="7" t="s">
        <v>7</v>
      </c>
      <c r="D4" s="16" t="s">
        <v>57</v>
      </c>
      <c r="E4" s="7" t="s">
        <v>8</v>
      </c>
      <c r="F4" s="15" t="s">
        <v>37</v>
      </c>
      <c r="G4" s="7" t="s">
        <v>9</v>
      </c>
      <c r="H4" s="18"/>
      <c r="I4" s="7" t="s">
        <v>10</v>
      </c>
      <c r="J4" s="7" t="s">
        <v>7</v>
      </c>
      <c r="K4" s="16" t="s">
        <v>56</v>
      </c>
      <c r="L4" s="7" t="s">
        <v>8</v>
      </c>
      <c r="M4" s="15" t="s">
        <v>37</v>
      </c>
      <c r="N4" s="11" t="s">
        <v>11</v>
      </c>
      <c r="O4" s="4"/>
      <c r="P4" s="7" t="s">
        <v>9</v>
      </c>
      <c r="Q4" s="14">
        <f>AVERAGE(P5:P6)</f>
        <v>17.870880586058348</v>
      </c>
      <c r="R4" s="7">
        <f>Q7-Q4</f>
        <v>1.0248568076726876</v>
      </c>
      <c r="S4" s="7">
        <f>2^R4</f>
        <v>2.0347574176762837</v>
      </c>
      <c r="T4" s="3"/>
    </row>
    <row r="5" spans="2:20" x14ac:dyDescent="0.3">
      <c r="B5" s="7" t="s">
        <v>12</v>
      </c>
      <c r="C5" s="7" t="s">
        <v>7</v>
      </c>
      <c r="D5" s="16"/>
      <c r="E5" s="7" t="s">
        <v>8</v>
      </c>
      <c r="F5" s="15"/>
      <c r="G5" s="11" t="s">
        <v>13</v>
      </c>
      <c r="H5" s="15"/>
      <c r="I5" s="7" t="s">
        <v>14</v>
      </c>
      <c r="J5" s="7" t="s">
        <v>7</v>
      </c>
      <c r="K5" s="15"/>
      <c r="L5" s="7" t="s">
        <v>8</v>
      </c>
      <c r="M5" s="15"/>
      <c r="N5" s="11" t="s">
        <v>15</v>
      </c>
      <c r="O5" s="5"/>
      <c r="P5" s="7">
        <f>G5-N5</f>
        <v>17.989364546988398</v>
      </c>
      <c r="Q5" s="14"/>
      <c r="R5" s="3"/>
      <c r="S5" s="3"/>
      <c r="T5" s="3"/>
    </row>
    <row r="6" spans="2:20" x14ac:dyDescent="0.3">
      <c r="B6" s="7" t="s">
        <v>16</v>
      </c>
      <c r="C6" s="7" t="s">
        <v>7</v>
      </c>
      <c r="D6" s="16"/>
      <c r="E6" s="7" t="s">
        <v>8</v>
      </c>
      <c r="F6" s="15"/>
      <c r="G6" s="11" t="s">
        <v>17</v>
      </c>
      <c r="H6" s="19"/>
      <c r="I6" s="7" t="s">
        <v>18</v>
      </c>
      <c r="J6" s="7" t="s">
        <v>7</v>
      </c>
      <c r="K6" s="15"/>
      <c r="L6" s="7" t="s">
        <v>8</v>
      </c>
      <c r="M6" s="15"/>
      <c r="N6" s="11" t="s">
        <v>19</v>
      </c>
      <c r="O6" s="5"/>
      <c r="P6" s="7">
        <f>G6-N6</f>
        <v>17.752396625128302</v>
      </c>
      <c r="Q6" s="14"/>
      <c r="S6" s="3"/>
      <c r="T6" s="3"/>
    </row>
    <row r="7" spans="2:20" x14ac:dyDescent="0.3">
      <c r="B7" s="7" t="s">
        <v>20</v>
      </c>
      <c r="C7" s="7" t="s">
        <v>7</v>
      </c>
      <c r="D7" s="16"/>
      <c r="E7" s="7" t="s">
        <v>8</v>
      </c>
      <c r="F7" s="15" t="s">
        <v>38</v>
      </c>
      <c r="G7" s="11" t="s">
        <v>21</v>
      </c>
      <c r="H7" s="18"/>
      <c r="I7" s="7" t="s">
        <v>22</v>
      </c>
      <c r="J7" s="7" t="s">
        <v>7</v>
      </c>
      <c r="K7" s="15"/>
      <c r="L7" s="7" t="s">
        <v>8</v>
      </c>
      <c r="M7" s="15" t="s">
        <v>38</v>
      </c>
      <c r="N7" s="11" t="s">
        <v>23</v>
      </c>
      <c r="O7" s="5"/>
      <c r="P7" s="7">
        <f>G7-N7</f>
        <v>18.304338574268797</v>
      </c>
      <c r="Q7" s="14">
        <f>AVERAGE(P7:P9)</f>
        <v>18.895737393731036</v>
      </c>
      <c r="S7" s="3"/>
      <c r="T7" s="3"/>
    </row>
    <row r="8" spans="2:20" x14ac:dyDescent="0.3">
      <c r="B8" s="7" t="s">
        <v>24</v>
      </c>
      <c r="C8" s="7" t="s">
        <v>7</v>
      </c>
      <c r="D8" s="16"/>
      <c r="E8" s="7" t="s">
        <v>8</v>
      </c>
      <c r="F8" s="15"/>
      <c r="G8" s="11" t="s">
        <v>25</v>
      </c>
      <c r="H8" s="15"/>
      <c r="I8" s="7" t="s">
        <v>26</v>
      </c>
      <c r="J8" s="7" t="s">
        <v>7</v>
      </c>
      <c r="K8" s="15"/>
      <c r="L8" s="7" t="s">
        <v>8</v>
      </c>
      <c r="M8" s="15"/>
      <c r="N8" s="11" t="s">
        <v>27</v>
      </c>
      <c r="O8" s="5"/>
      <c r="P8" s="7">
        <f>G8-N8</f>
        <v>18.340285700801502</v>
      </c>
      <c r="Q8" s="14"/>
      <c r="R8" s="3"/>
      <c r="S8" s="3"/>
      <c r="T8" s="3"/>
    </row>
    <row r="9" spans="2:20" x14ac:dyDescent="0.3">
      <c r="B9" s="7" t="s">
        <v>28</v>
      </c>
      <c r="C9" s="7" t="s">
        <v>7</v>
      </c>
      <c r="D9" s="16"/>
      <c r="E9" s="7" t="s">
        <v>8</v>
      </c>
      <c r="F9" s="15"/>
      <c r="G9" s="12" t="s">
        <v>29</v>
      </c>
      <c r="H9" s="19"/>
      <c r="I9" s="7" t="s">
        <v>30</v>
      </c>
      <c r="J9" s="7" t="s">
        <v>7</v>
      </c>
      <c r="K9" s="15"/>
      <c r="L9" s="7" t="s">
        <v>8</v>
      </c>
      <c r="M9" s="15"/>
      <c r="N9" s="11" t="s">
        <v>31</v>
      </c>
      <c r="O9" s="5"/>
      <c r="P9" s="7">
        <f>G9-N9</f>
        <v>20.042587906122801</v>
      </c>
      <c r="Q9" s="14"/>
      <c r="R9" s="3"/>
      <c r="S9" s="3"/>
      <c r="T9" s="3"/>
    </row>
    <row r="10" spans="2:20" x14ac:dyDescent="0.3">
      <c r="B10" s="7" t="s">
        <v>32</v>
      </c>
      <c r="C10" s="7" t="s">
        <v>7</v>
      </c>
      <c r="D10" s="9" t="s">
        <v>40</v>
      </c>
      <c r="E10" s="7" t="s">
        <v>55</v>
      </c>
      <c r="F10" s="7" t="s">
        <v>39</v>
      </c>
      <c r="G10" s="7" t="s">
        <v>9</v>
      </c>
      <c r="H10" s="13"/>
      <c r="I10" s="7" t="s">
        <v>33</v>
      </c>
      <c r="J10" s="7" t="s">
        <v>7</v>
      </c>
      <c r="K10" s="7" t="s">
        <v>41</v>
      </c>
      <c r="L10" s="7" t="s">
        <v>55</v>
      </c>
      <c r="M10" s="7" t="s">
        <v>39</v>
      </c>
      <c r="N10" s="11" t="s">
        <v>34</v>
      </c>
      <c r="O10" s="4"/>
      <c r="P10" s="7" t="s">
        <v>51</v>
      </c>
      <c r="R10" s="3"/>
      <c r="S10" s="3"/>
      <c r="T10" s="3"/>
    </row>
    <row r="11" spans="2:20" x14ac:dyDescent="0.3">
      <c r="B11" s="7" t="s">
        <v>35</v>
      </c>
      <c r="C11" s="7" t="s">
        <v>7</v>
      </c>
      <c r="D11" s="7" t="s">
        <v>51</v>
      </c>
      <c r="E11" s="7"/>
      <c r="F11" s="7" t="s">
        <v>42</v>
      </c>
      <c r="G11" s="7" t="s">
        <v>9</v>
      </c>
      <c r="H11" s="13"/>
      <c r="I11" s="7" t="s">
        <v>36</v>
      </c>
      <c r="J11" s="7" t="s">
        <v>7</v>
      </c>
      <c r="K11" s="7" t="s">
        <v>51</v>
      </c>
      <c r="L11" s="7"/>
      <c r="M11" s="7" t="s">
        <v>42</v>
      </c>
      <c r="N11" s="7" t="s">
        <v>9</v>
      </c>
      <c r="P11" s="7" t="s">
        <v>51</v>
      </c>
      <c r="R11" s="3"/>
      <c r="S11" s="3"/>
      <c r="T11" s="3"/>
    </row>
    <row r="12" spans="2:20" x14ac:dyDescent="0.3">
      <c r="P12" s="3"/>
      <c r="Q12" s="3"/>
      <c r="R12" s="3"/>
      <c r="S12" s="3"/>
      <c r="T12" s="3"/>
    </row>
    <row r="13" spans="2:20" x14ac:dyDescent="0.3">
      <c r="P13" s="3"/>
      <c r="R13" s="3"/>
      <c r="S13" s="3"/>
      <c r="T13" s="3"/>
    </row>
    <row r="15" spans="2:20" x14ac:dyDescent="0.3">
      <c r="P15" s="17" t="s">
        <v>48</v>
      </c>
    </row>
    <row r="16" spans="2:20" x14ac:dyDescent="0.3">
      <c r="P16" s="17"/>
    </row>
    <row r="17" spans="16:20" x14ac:dyDescent="0.3">
      <c r="P17" s="7" t="s">
        <v>9</v>
      </c>
    </row>
    <row r="18" spans="16:20" x14ac:dyDescent="0.3">
      <c r="P18" s="7">
        <f>2*(2^P5)</f>
        <v>520437.19470719219</v>
      </c>
    </row>
    <row r="19" spans="16:20" x14ac:dyDescent="0.3">
      <c r="P19" s="7">
        <f>2*(2^P6)</f>
        <v>441604.89096986881</v>
      </c>
    </row>
    <row r="20" spans="16:20" x14ac:dyDescent="0.3">
      <c r="P20" s="7">
        <f>2*(2^P7)</f>
        <v>647418.27950301021</v>
      </c>
    </row>
    <row r="21" spans="16:20" x14ac:dyDescent="0.3">
      <c r="P21" s="7">
        <f>2*(2^P8)</f>
        <v>663752.4248133417</v>
      </c>
    </row>
    <row r="22" spans="16:20" x14ac:dyDescent="0.3">
      <c r="P22" s="8">
        <f>2*(2^P9)</f>
        <v>2159982.0702459193</v>
      </c>
    </row>
    <row r="23" spans="16:20" x14ac:dyDescent="0.3">
      <c r="P23" s="7" t="s">
        <v>9</v>
      </c>
    </row>
    <row r="24" spans="16:20" x14ac:dyDescent="0.3">
      <c r="P24" s="7" t="s">
        <v>9</v>
      </c>
    </row>
    <row r="26" spans="16:20" x14ac:dyDescent="0.3">
      <c r="P26" s="17" t="s">
        <v>54</v>
      </c>
      <c r="Q26" s="17" t="s">
        <v>52</v>
      </c>
      <c r="R26" s="17" t="s">
        <v>49</v>
      </c>
      <c r="S26" s="17" t="s">
        <v>50</v>
      </c>
      <c r="T26" s="3"/>
    </row>
    <row r="27" spans="16:20" x14ac:dyDescent="0.3">
      <c r="P27" s="17"/>
      <c r="Q27" s="17"/>
      <c r="R27" s="17"/>
      <c r="S27" s="17"/>
      <c r="T27" s="3"/>
    </row>
    <row r="28" spans="16:20" x14ac:dyDescent="0.3">
      <c r="P28" s="7" t="s">
        <v>9</v>
      </c>
      <c r="Q28" s="14">
        <f>AVERAGE(P29:P30)</f>
        <v>17.870880586058348</v>
      </c>
      <c r="R28" s="7">
        <f>Q31-Q28</f>
        <v>0.45143155147680147</v>
      </c>
      <c r="S28" s="7">
        <f>2^R28</f>
        <v>1.3673964182704821</v>
      </c>
      <c r="T28" s="3"/>
    </row>
    <row r="29" spans="16:20" x14ac:dyDescent="0.3">
      <c r="P29" s="7">
        <f>G5-N5</f>
        <v>17.989364546988398</v>
      </c>
      <c r="Q29" s="14"/>
      <c r="R29" s="3"/>
      <c r="S29" s="3"/>
      <c r="T29" s="3"/>
    </row>
    <row r="30" spans="16:20" x14ac:dyDescent="0.3">
      <c r="P30" s="7">
        <f>G6-N6</f>
        <v>17.752396625128302</v>
      </c>
      <c r="Q30" s="14"/>
      <c r="S30" s="3"/>
      <c r="T30" s="3"/>
    </row>
    <row r="31" spans="16:20" x14ac:dyDescent="0.3">
      <c r="P31" s="7">
        <f>G7-N7</f>
        <v>18.304338574268797</v>
      </c>
      <c r="Q31" s="14">
        <f>AVERAGE(P31:P32)</f>
        <v>18.32231213753515</v>
      </c>
      <c r="S31" s="3"/>
      <c r="T31" s="3"/>
    </row>
    <row r="32" spans="16:20" x14ac:dyDescent="0.3">
      <c r="P32" s="7">
        <f>G8-N8</f>
        <v>18.340285700801502</v>
      </c>
      <c r="Q32" s="14"/>
      <c r="R32" s="3"/>
      <c r="S32" s="3"/>
      <c r="T32" s="3"/>
    </row>
    <row r="33" spans="16:20" x14ac:dyDescent="0.3">
      <c r="P33" s="7" t="s">
        <v>53</v>
      </c>
      <c r="Q33" s="14"/>
      <c r="R33" s="3"/>
      <c r="S33" s="3"/>
      <c r="T33" s="3"/>
    </row>
    <row r="34" spans="16:20" x14ac:dyDescent="0.3">
      <c r="P34" s="7" t="s">
        <v>51</v>
      </c>
      <c r="R34" s="3"/>
      <c r="S34" s="3"/>
      <c r="T34" s="3"/>
    </row>
    <row r="35" spans="16:20" x14ac:dyDescent="0.3">
      <c r="P35" s="7" t="s">
        <v>51</v>
      </c>
      <c r="R35" s="3"/>
      <c r="S35" s="3"/>
      <c r="T35" s="3"/>
    </row>
  </sheetData>
  <mergeCells count="23">
    <mergeCell ref="R26:R27"/>
    <mergeCell ref="S26:S27"/>
    <mergeCell ref="B2:G2"/>
    <mergeCell ref="I2:N2"/>
    <mergeCell ref="P2:P3"/>
    <mergeCell ref="H4:H6"/>
    <mergeCell ref="H7:H9"/>
    <mergeCell ref="P15:P16"/>
    <mergeCell ref="D4:D9"/>
    <mergeCell ref="K4:K9"/>
    <mergeCell ref="R2:R3"/>
    <mergeCell ref="S2:S3"/>
    <mergeCell ref="Q2:Q3"/>
    <mergeCell ref="Q4:Q6"/>
    <mergeCell ref="Q7:Q9"/>
    <mergeCell ref="Q28:Q30"/>
    <mergeCell ref="Q31:Q33"/>
    <mergeCell ref="F4:F6"/>
    <mergeCell ref="F7:F9"/>
    <mergeCell ref="M4:M6"/>
    <mergeCell ref="M7:M9"/>
    <mergeCell ref="P26:P27"/>
    <mergeCell ref="Q26:Q27"/>
  </mergeCells>
  <pageMargins left="0.7" right="0.7" top="0.75" bottom="0.75" header="0.3" footer="0.3"/>
  <pageSetup paperSize="9" scale="5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1663-D871-4509-A9F2-CB5860EB095E}">
  <sheetPr>
    <pageSetUpPr fitToPage="1"/>
  </sheetPr>
  <dimension ref="B2:U12"/>
  <sheetViews>
    <sheetView workbookViewId="0">
      <selection activeCell="O14" sqref="O14"/>
    </sheetView>
  </sheetViews>
  <sheetFormatPr defaultRowHeight="14.4" x14ac:dyDescent="0.3"/>
  <cols>
    <col min="4" max="4" width="10.88671875" customWidth="1"/>
    <col min="5" max="5" width="12.21875" customWidth="1"/>
    <col min="7" max="8" width="13.5546875" customWidth="1"/>
    <col min="9" max="9" width="12.21875" customWidth="1"/>
    <col min="10" max="10" width="11.44140625" customWidth="1"/>
    <col min="14" max="14" width="15.33203125" customWidth="1"/>
    <col min="15" max="15" width="10.6640625" customWidth="1"/>
    <col min="17" max="17" width="12" customWidth="1"/>
    <col min="18" max="18" width="12.109375" customWidth="1"/>
    <col min="19" max="19" width="12.33203125" customWidth="1"/>
    <col min="20" max="20" width="12" customWidth="1"/>
  </cols>
  <sheetData>
    <row r="2" spans="2:21" x14ac:dyDescent="0.3">
      <c r="B2" s="20" t="s">
        <v>40</v>
      </c>
      <c r="C2" s="20"/>
      <c r="D2" s="20"/>
      <c r="E2" s="20"/>
      <c r="F2" s="20"/>
      <c r="G2" s="20"/>
      <c r="H2" s="20"/>
      <c r="I2" s="20"/>
      <c r="J2" s="20"/>
      <c r="K2" s="21"/>
      <c r="L2" s="20" t="s">
        <v>41</v>
      </c>
      <c r="M2" s="20"/>
      <c r="N2" s="20"/>
      <c r="O2" s="20"/>
      <c r="P2" s="20"/>
      <c r="Q2" s="20"/>
      <c r="R2" s="20"/>
      <c r="S2" s="20"/>
      <c r="T2" s="20"/>
      <c r="U2" s="1"/>
    </row>
    <row r="3" spans="2:2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43</v>
      </c>
      <c r="H3" s="2" t="s">
        <v>44</v>
      </c>
      <c r="I3" s="2" t="s">
        <v>45</v>
      </c>
      <c r="J3" s="2" t="s">
        <v>46</v>
      </c>
      <c r="K3" s="22"/>
      <c r="L3" s="2" t="s">
        <v>0</v>
      </c>
      <c r="M3" s="2" t="s">
        <v>1</v>
      </c>
      <c r="N3" s="2" t="s">
        <v>2</v>
      </c>
      <c r="O3" s="2" t="s">
        <v>3</v>
      </c>
      <c r="P3" s="2" t="s">
        <v>4</v>
      </c>
      <c r="Q3" s="2" t="s">
        <v>43</v>
      </c>
      <c r="R3" s="2" t="s">
        <v>44</v>
      </c>
      <c r="S3" s="2" t="s">
        <v>45</v>
      </c>
      <c r="T3" s="2" t="s">
        <v>46</v>
      </c>
      <c r="U3" s="1"/>
    </row>
    <row r="4" spans="2:21" x14ac:dyDescent="0.3">
      <c r="B4" s="6" t="s">
        <v>6</v>
      </c>
      <c r="C4" s="6" t="s">
        <v>7</v>
      </c>
      <c r="D4" s="16" t="s">
        <v>57</v>
      </c>
      <c r="E4" s="6" t="s">
        <v>8</v>
      </c>
      <c r="F4" s="25" t="s">
        <v>37</v>
      </c>
      <c r="G4" s="6" t="s">
        <v>47</v>
      </c>
      <c r="H4" s="6" t="s">
        <v>47</v>
      </c>
      <c r="I4" s="6" t="s">
        <v>47</v>
      </c>
      <c r="J4" s="6" t="s">
        <v>47</v>
      </c>
      <c r="K4" s="23"/>
      <c r="L4" s="7" t="s">
        <v>10</v>
      </c>
      <c r="M4" s="7" t="s">
        <v>7</v>
      </c>
      <c r="N4" s="16" t="s">
        <v>56</v>
      </c>
      <c r="O4" s="7" t="s">
        <v>8</v>
      </c>
      <c r="P4" s="25" t="s">
        <v>37</v>
      </c>
      <c r="Q4" s="7">
        <v>76.5</v>
      </c>
      <c r="R4" s="7">
        <v>4189.0338069999998</v>
      </c>
      <c r="S4" s="7">
        <v>67.5</v>
      </c>
      <c r="T4" s="7">
        <v>84.5</v>
      </c>
      <c r="U4" s="1"/>
    </row>
    <row r="5" spans="2:21" x14ac:dyDescent="0.3">
      <c r="B5" s="6" t="s">
        <v>12</v>
      </c>
      <c r="C5" s="6" t="s">
        <v>7</v>
      </c>
      <c r="D5" s="16"/>
      <c r="E5" s="6" t="s">
        <v>8</v>
      </c>
      <c r="F5" s="25"/>
      <c r="G5" s="6">
        <v>74.5</v>
      </c>
      <c r="H5" s="6">
        <v>1590.83843941139</v>
      </c>
      <c r="I5" s="6">
        <v>67.5</v>
      </c>
      <c r="J5" s="6">
        <v>78.5</v>
      </c>
      <c r="K5" s="23"/>
      <c r="L5" s="7" t="s">
        <v>14</v>
      </c>
      <c r="M5" s="7" t="s">
        <v>7</v>
      </c>
      <c r="N5" s="15"/>
      <c r="O5" s="7" t="s">
        <v>8</v>
      </c>
      <c r="P5" s="25"/>
      <c r="Q5" s="7">
        <v>77</v>
      </c>
      <c r="R5" s="7">
        <v>4692.1231127423098</v>
      </c>
      <c r="S5" s="7">
        <v>67.5</v>
      </c>
      <c r="T5" s="7">
        <v>84.5</v>
      </c>
      <c r="U5" s="1"/>
    </row>
    <row r="6" spans="2:21" x14ac:dyDescent="0.3">
      <c r="B6" s="6" t="s">
        <v>16</v>
      </c>
      <c r="C6" s="6" t="s">
        <v>7</v>
      </c>
      <c r="D6" s="16"/>
      <c r="E6" s="6" t="s">
        <v>8</v>
      </c>
      <c r="F6" s="25"/>
      <c r="G6" s="6" t="s">
        <v>47</v>
      </c>
      <c r="H6" s="6" t="s">
        <v>47</v>
      </c>
      <c r="I6" s="6" t="s">
        <v>47</v>
      </c>
      <c r="J6" s="6" t="s">
        <v>47</v>
      </c>
      <c r="K6" s="23"/>
      <c r="L6" s="7" t="s">
        <v>18</v>
      </c>
      <c r="M6" s="7" t="s">
        <v>7</v>
      </c>
      <c r="N6" s="15"/>
      <c r="O6" s="7" t="s">
        <v>8</v>
      </c>
      <c r="P6" s="25"/>
      <c r="Q6" s="7">
        <v>77</v>
      </c>
      <c r="R6" s="7">
        <v>4766.8227877125601</v>
      </c>
      <c r="S6" s="7">
        <v>67.5</v>
      </c>
      <c r="T6" s="7">
        <v>83.5</v>
      </c>
      <c r="U6" s="1"/>
    </row>
    <row r="7" spans="2:21" x14ac:dyDescent="0.3">
      <c r="B7" s="6" t="s">
        <v>20</v>
      </c>
      <c r="C7" s="6" t="s">
        <v>7</v>
      </c>
      <c r="D7" s="16"/>
      <c r="E7" s="6" t="s">
        <v>8</v>
      </c>
      <c r="F7" s="25" t="s">
        <v>38</v>
      </c>
      <c r="G7" s="6" t="s">
        <v>47</v>
      </c>
      <c r="H7" s="6" t="s">
        <v>47</v>
      </c>
      <c r="I7" s="6" t="s">
        <v>47</v>
      </c>
      <c r="J7" s="6" t="s">
        <v>47</v>
      </c>
      <c r="K7" s="23"/>
      <c r="L7" s="7" t="s">
        <v>22</v>
      </c>
      <c r="M7" s="7" t="s">
        <v>7</v>
      </c>
      <c r="N7" s="15"/>
      <c r="O7" s="7" t="s">
        <v>8</v>
      </c>
      <c r="P7" s="25" t="s">
        <v>38</v>
      </c>
      <c r="Q7" s="7">
        <v>77</v>
      </c>
      <c r="R7" s="7">
        <v>3966.1070161982002</v>
      </c>
      <c r="S7" s="7">
        <v>67.5</v>
      </c>
      <c r="T7" s="7">
        <v>83.5</v>
      </c>
      <c r="U7" s="1"/>
    </row>
    <row r="8" spans="2:21" x14ac:dyDescent="0.3">
      <c r="B8" s="6" t="s">
        <v>24</v>
      </c>
      <c r="C8" s="6" t="s">
        <v>7</v>
      </c>
      <c r="D8" s="16"/>
      <c r="E8" s="6" t="s">
        <v>8</v>
      </c>
      <c r="F8" s="25"/>
      <c r="G8" s="6">
        <v>74.5</v>
      </c>
      <c r="H8" s="6">
        <v>1600.13390566155</v>
      </c>
      <c r="I8" s="6">
        <v>67.5</v>
      </c>
      <c r="J8" s="6">
        <v>79.5</v>
      </c>
      <c r="K8" s="23"/>
      <c r="L8" s="7" t="s">
        <v>26</v>
      </c>
      <c r="M8" s="7" t="s">
        <v>7</v>
      </c>
      <c r="N8" s="15"/>
      <c r="O8" s="7" t="s">
        <v>8</v>
      </c>
      <c r="P8" s="25"/>
      <c r="Q8" s="7">
        <v>77</v>
      </c>
      <c r="R8" s="7">
        <v>4399.2939946844599</v>
      </c>
      <c r="S8" s="7">
        <v>67.5</v>
      </c>
      <c r="T8" s="7">
        <v>82</v>
      </c>
      <c r="U8" s="1"/>
    </row>
    <row r="9" spans="2:21" x14ac:dyDescent="0.3">
      <c r="B9" s="6" t="s">
        <v>28</v>
      </c>
      <c r="C9" s="6" t="s">
        <v>7</v>
      </c>
      <c r="D9" s="16"/>
      <c r="E9" s="6" t="s">
        <v>8</v>
      </c>
      <c r="F9" s="25"/>
      <c r="G9" s="6" t="s">
        <v>47</v>
      </c>
      <c r="H9" s="6" t="s">
        <v>47</v>
      </c>
      <c r="I9" s="6" t="s">
        <v>47</v>
      </c>
      <c r="J9" s="6" t="s">
        <v>47</v>
      </c>
      <c r="K9" s="23"/>
      <c r="L9" s="7" t="s">
        <v>30</v>
      </c>
      <c r="M9" s="7" t="s">
        <v>7</v>
      </c>
      <c r="N9" s="15"/>
      <c r="O9" s="7" t="s">
        <v>8</v>
      </c>
      <c r="P9" s="25"/>
      <c r="Q9" s="7">
        <v>77</v>
      </c>
      <c r="R9" s="7">
        <v>4480.3750534730298</v>
      </c>
      <c r="S9" s="7">
        <v>67.5</v>
      </c>
      <c r="T9" s="7">
        <v>82.5</v>
      </c>
      <c r="U9" s="1"/>
    </row>
    <row r="10" spans="2:21" x14ac:dyDescent="0.3">
      <c r="B10" s="7" t="s">
        <v>32</v>
      </c>
      <c r="C10" s="7" t="s">
        <v>7</v>
      </c>
      <c r="D10" s="9" t="s">
        <v>40</v>
      </c>
      <c r="E10" s="7" t="s">
        <v>55</v>
      </c>
      <c r="F10" s="26" t="s">
        <v>39</v>
      </c>
      <c r="G10" s="7" t="s">
        <v>47</v>
      </c>
      <c r="H10" s="7" t="s">
        <v>47</v>
      </c>
      <c r="I10" s="7" t="s">
        <v>47</v>
      </c>
      <c r="J10" s="7" t="s">
        <v>47</v>
      </c>
      <c r="K10" s="27"/>
      <c r="L10" s="7" t="s">
        <v>33</v>
      </c>
      <c r="M10" s="7" t="s">
        <v>7</v>
      </c>
      <c r="N10" s="7" t="s">
        <v>41</v>
      </c>
      <c r="O10" s="7" t="s">
        <v>55</v>
      </c>
      <c r="P10" s="26" t="s">
        <v>39</v>
      </c>
      <c r="Q10" s="7">
        <v>77</v>
      </c>
      <c r="R10" s="7">
        <v>3183.9093873296201</v>
      </c>
      <c r="S10" s="7">
        <v>67.5</v>
      </c>
      <c r="T10" s="7">
        <v>82.5</v>
      </c>
      <c r="U10" s="1"/>
    </row>
    <row r="11" spans="2:21" x14ac:dyDescent="0.3">
      <c r="B11" s="7" t="s">
        <v>35</v>
      </c>
      <c r="C11" s="7" t="s">
        <v>7</v>
      </c>
      <c r="D11" s="9" t="s">
        <v>51</v>
      </c>
      <c r="E11" s="7"/>
      <c r="F11" s="7" t="s">
        <v>42</v>
      </c>
      <c r="G11" s="7" t="s">
        <v>47</v>
      </c>
      <c r="H11" s="7" t="s">
        <v>47</v>
      </c>
      <c r="I11" s="7" t="s">
        <v>47</v>
      </c>
      <c r="J11" s="7" t="s">
        <v>47</v>
      </c>
      <c r="K11" s="27"/>
      <c r="L11" s="7" t="s">
        <v>36</v>
      </c>
      <c r="M11" s="7" t="s">
        <v>7</v>
      </c>
      <c r="N11" s="7" t="s">
        <v>51</v>
      </c>
      <c r="O11" s="7"/>
      <c r="P11" s="7" t="s">
        <v>42</v>
      </c>
      <c r="Q11" s="7" t="s">
        <v>47</v>
      </c>
      <c r="R11" s="7" t="s">
        <v>47</v>
      </c>
      <c r="S11" s="7" t="s">
        <v>47</v>
      </c>
      <c r="T11" s="7" t="s">
        <v>47</v>
      </c>
      <c r="U11" s="1"/>
    </row>
    <row r="12" spans="2:21" x14ac:dyDescent="0.3">
      <c r="B12" s="1"/>
      <c r="C12" s="1"/>
      <c r="D12" s="1"/>
      <c r="E12" s="1"/>
      <c r="F12" s="1"/>
      <c r="G12" s="1"/>
      <c r="H12" s="1"/>
      <c r="I12" s="1"/>
      <c r="J12" s="1"/>
      <c r="K12" s="24"/>
      <c r="L12" s="1"/>
      <c r="M12" s="1"/>
      <c r="N12" s="1"/>
      <c r="O12" s="1"/>
      <c r="P12" s="1"/>
      <c r="Q12" s="1"/>
      <c r="R12" s="1"/>
      <c r="S12" s="1"/>
      <c r="T12" s="1"/>
      <c r="U12" s="1"/>
    </row>
  </sheetData>
  <mergeCells count="8">
    <mergeCell ref="B2:J2"/>
    <mergeCell ref="L2:T2"/>
    <mergeCell ref="D4:D9"/>
    <mergeCell ref="F4:F6"/>
    <mergeCell ref="N4:N9"/>
    <mergeCell ref="P4:P6"/>
    <mergeCell ref="F7:F9"/>
    <mergeCell ref="P7:P9"/>
  </mergeCells>
  <pageMargins left="0.7" right="0.7" top="0.75" bottom="0.75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Amplication Curve</vt:lpstr>
      <vt:lpstr>Melt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wldbs thd</cp:lastModifiedBy>
  <cp:lastPrinted>2026-10-06T15:23:20Z</cp:lastPrinted>
  <dcterms:created xsi:type="dcterms:W3CDTF">2026-10-05T13:17:52Z</dcterms:created>
  <dcterms:modified xsi:type="dcterms:W3CDTF">2026-10-06T15:24:00Z</dcterms:modified>
</cp:coreProperties>
</file>